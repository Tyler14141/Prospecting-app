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AL" sheetId="3" state="visible" r:id="rId3"/>
    <sheet xmlns:r="http://schemas.openxmlformats.org/officeDocument/2006/relationships" name="AK" sheetId="4" state="visible" r:id="rId4"/>
    <sheet xmlns:r="http://schemas.openxmlformats.org/officeDocument/2006/relationships" name="AZ" sheetId="5" state="visible" r:id="rId5"/>
    <sheet xmlns:r="http://schemas.openxmlformats.org/officeDocument/2006/relationships" name="AR" sheetId="6" state="visible" r:id="rId6"/>
    <sheet xmlns:r="http://schemas.openxmlformats.org/officeDocument/2006/relationships" name="CA" sheetId="7" state="visible" r:id="rId7"/>
    <sheet xmlns:r="http://schemas.openxmlformats.org/officeDocument/2006/relationships" name="CO" sheetId="8" state="visible" r:id="rId8"/>
    <sheet xmlns:r="http://schemas.openxmlformats.org/officeDocument/2006/relationships" name="CT" sheetId="9" state="visible" r:id="rId9"/>
    <sheet xmlns:r="http://schemas.openxmlformats.org/officeDocument/2006/relationships" name="DE" sheetId="10" state="visible" r:id="rId10"/>
    <sheet xmlns:r="http://schemas.openxmlformats.org/officeDocument/2006/relationships" name="FL" sheetId="11" state="visible" r:id="rId11"/>
    <sheet xmlns:r="http://schemas.openxmlformats.org/officeDocument/2006/relationships" name="GA" sheetId="12" state="visible" r:id="rId12"/>
    <sheet xmlns:r="http://schemas.openxmlformats.org/officeDocument/2006/relationships" name="HI" sheetId="13" state="visible" r:id="rId13"/>
    <sheet xmlns:r="http://schemas.openxmlformats.org/officeDocument/2006/relationships" name="ID" sheetId="14" state="visible" r:id="rId14"/>
    <sheet xmlns:r="http://schemas.openxmlformats.org/officeDocument/2006/relationships" name="IL" sheetId="15" state="visible" r:id="rId15"/>
    <sheet xmlns:r="http://schemas.openxmlformats.org/officeDocument/2006/relationships" name="IN" sheetId="16" state="visible" r:id="rId16"/>
    <sheet xmlns:r="http://schemas.openxmlformats.org/officeDocument/2006/relationships" name="IA" sheetId="17" state="visible" r:id="rId17"/>
    <sheet xmlns:r="http://schemas.openxmlformats.org/officeDocument/2006/relationships" name="KS" sheetId="18" state="visible" r:id="rId18"/>
    <sheet xmlns:r="http://schemas.openxmlformats.org/officeDocument/2006/relationships" name="KY" sheetId="19" state="visible" r:id="rId19"/>
    <sheet xmlns:r="http://schemas.openxmlformats.org/officeDocument/2006/relationships" name="LA" sheetId="20" state="visible" r:id="rId20"/>
    <sheet xmlns:r="http://schemas.openxmlformats.org/officeDocument/2006/relationships" name="ME" sheetId="21" state="visible" r:id="rId21"/>
    <sheet xmlns:r="http://schemas.openxmlformats.org/officeDocument/2006/relationships" name="MD" sheetId="22" state="visible" r:id="rId22"/>
    <sheet xmlns:r="http://schemas.openxmlformats.org/officeDocument/2006/relationships" name="MA" sheetId="23" state="visible" r:id="rId23"/>
    <sheet xmlns:r="http://schemas.openxmlformats.org/officeDocument/2006/relationships" name="MI" sheetId="24" state="visible" r:id="rId24"/>
    <sheet xmlns:r="http://schemas.openxmlformats.org/officeDocument/2006/relationships" name="MN" sheetId="25" state="visible" r:id="rId25"/>
    <sheet xmlns:r="http://schemas.openxmlformats.org/officeDocument/2006/relationships" name="MS" sheetId="26" state="visible" r:id="rId26"/>
    <sheet xmlns:r="http://schemas.openxmlformats.org/officeDocument/2006/relationships" name="MO" sheetId="27" state="visible" r:id="rId27"/>
    <sheet xmlns:r="http://schemas.openxmlformats.org/officeDocument/2006/relationships" name="MT" sheetId="28" state="visible" r:id="rId28"/>
    <sheet xmlns:r="http://schemas.openxmlformats.org/officeDocument/2006/relationships" name="NE" sheetId="29" state="visible" r:id="rId29"/>
    <sheet xmlns:r="http://schemas.openxmlformats.org/officeDocument/2006/relationships" name="NV" sheetId="30" state="visible" r:id="rId30"/>
    <sheet xmlns:r="http://schemas.openxmlformats.org/officeDocument/2006/relationships" name="NH" sheetId="31" state="visible" r:id="rId31"/>
    <sheet xmlns:r="http://schemas.openxmlformats.org/officeDocument/2006/relationships" name="NJ" sheetId="32" state="visible" r:id="rId32"/>
    <sheet xmlns:r="http://schemas.openxmlformats.org/officeDocument/2006/relationships" name="NM" sheetId="33" state="visible" r:id="rId33"/>
    <sheet xmlns:r="http://schemas.openxmlformats.org/officeDocument/2006/relationships" name="NY" sheetId="34" state="visible" r:id="rId34"/>
    <sheet xmlns:r="http://schemas.openxmlformats.org/officeDocument/2006/relationships" name="NC" sheetId="35" state="visible" r:id="rId35"/>
    <sheet xmlns:r="http://schemas.openxmlformats.org/officeDocument/2006/relationships" name="ND" sheetId="36" state="visible" r:id="rId36"/>
    <sheet xmlns:r="http://schemas.openxmlformats.org/officeDocument/2006/relationships" name="OH" sheetId="37" state="visible" r:id="rId37"/>
    <sheet xmlns:r="http://schemas.openxmlformats.org/officeDocument/2006/relationships" name="OK" sheetId="38" state="visible" r:id="rId38"/>
    <sheet xmlns:r="http://schemas.openxmlformats.org/officeDocument/2006/relationships" name="OR" sheetId="39" state="visible" r:id="rId39"/>
    <sheet xmlns:r="http://schemas.openxmlformats.org/officeDocument/2006/relationships" name="PA" sheetId="40" state="visible" r:id="rId40"/>
    <sheet xmlns:r="http://schemas.openxmlformats.org/officeDocument/2006/relationships" name="RI" sheetId="41" state="visible" r:id="rId41"/>
    <sheet xmlns:r="http://schemas.openxmlformats.org/officeDocument/2006/relationships" name="SC" sheetId="42" state="visible" r:id="rId42"/>
    <sheet xmlns:r="http://schemas.openxmlformats.org/officeDocument/2006/relationships" name="SD" sheetId="43" state="visible" r:id="rId43"/>
    <sheet xmlns:r="http://schemas.openxmlformats.org/officeDocument/2006/relationships" name="TN" sheetId="44" state="visible" r:id="rId44"/>
    <sheet xmlns:r="http://schemas.openxmlformats.org/officeDocument/2006/relationships" name="TX" sheetId="45" state="visible" r:id="rId45"/>
    <sheet xmlns:r="http://schemas.openxmlformats.org/officeDocument/2006/relationships" name="UT" sheetId="46" state="visible" r:id="rId46"/>
    <sheet xmlns:r="http://schemas.openxmlformats.org/officeDocument/2006/relationships" name="VT" sheetId="47" state="visible" r:id="rId47"/>
    <sheet xmlns:r="http://schemas.openxmlformats.org/officeDocument/2006/relationships" name="VA" sheetId="48" state="visible" r:id="rId48"/>
    <sheet xmlns:r="http://schemas.openxmlformats.org/officeDocument/2006/relationships" name="WA" sheetId="49" state="visible" r:id="rId49"/>
    <sheet xmlns:r="http://schemas.openxmlformats.org/officeDocument/2006/relationships" name="WV" sheetId="50" state="visible" r:id="rId50"/>
    <sheet xmlns:r="http://schemas.openxmlformats.org/officeDocument/2006/relationships" name="WI" sheetId="51" state="visible" r:id="rId51"/>
    <sheet xmlns:r="http://schemas.openxmlformats.org/officeDocument/2006/relationships" name="WY" sheetId="52" state="visible" r:id="rId52"/>
    <sheet xmlns:r="http://schemas.openxmlformats.org/officeDocument/2006/relationships" name="DC" sheetId="53" state="visible" r:id="rId53"/>
    <sheet xmlns:r="http://schemas.openxmlformats.org/officeDocument/2006/relationships" name="Competitor Summary" sheetId="54" state="visible" r:id="rId54"/>
    <sheet xmlns:r="http://schemas.openxmlformats.org/officeDocument/2006/relationships" name="Competitor Penetration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&quot;$&quot;#,##0;(&quot;$&quot;#,##0);&quot;-&quot;"/>
    <numFmt numFmtId="166" formatCode="0.00%;(0.00%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1F4E79"/>
      <sz val="10"/>
    </font>
    <font>
      <name val="Arial"/>
      <color rgb="00000000"/>
      <sz val="10"/>
    </font>
    <font>
      <name val="Arial"/>
      <color rgb="002F855A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334155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0" fontId="4" fillId="3" borderId="0" pivotButton="0" quotePrefix="0" xfId="0"/>
    <xf numFmtId="164" fontId="4" fillId="3" borderId="0" applyAlignment="1" pivotButton="0" quotePrefix="0" xfId="0">
      <alignment horizontal="right"/>
    </xf>
    <xf numFmtId="165" fontId="4" fillId="3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4" borderId="0" pivotButton="0" quotePrefix="0" xfId="0"/>
    <xf numFmtId="0" fontId="0" fillId="4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164" fontId="4" fillId="3" borderId="0" pivotButton="0" quotePrefix="0" xfId="0"/>
    <xf numFmtId="0" fontId="0" fillId="3" borderId="0" pivotButton="0" quotePrefix="0" xfId="0"/>
    <xf numFmtId="165" fontId="4" fillId="3" borderId="0" pivotButton="0" quotePrefix="0" xfId="0"/>
    <xf numFmtId="0" fontId="10" fillId="2" borderId="0" pivotButton="0" quotePrefix="0" xfId="0"/>
    <xf numFmtId="164" fontId="3" fillId="2" borderId="0" pivotButton="0" quotePrefix="0" xfId="0"/>
    <xf numFmtId="164" fontId="5" fillId="2" borderId="0" pivotButton="0" quotePrefix="0" xfId="0"/>
    <xf numFmtId="165" fontId="5" fillId="2" borderId="0" pivotButton="0" quotePrefix="0" xfId="0"/>
    <xf numFmtId="165" fontId="3" fillId="2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164" fontId="6" fillId="0" borderId="0" pivotButton="0" quotePrefix="0" xfId="0"/>
    <xf numFmtId="166" fontId="6" fillId="0" borderId="0" pivotButton="0" quotePrefix="0" xfId="0"/>
    <xf numFmtId="166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Local Government TAM — National Summary</t>
        </is>
      </c>
    </row>
    <row r="2">
      <c r="A2" s="2" t="inlineStr">
        <is>
          <t>Counts and estimated annual operating spend by state and population bucket. School districts excluded.</t>
        </is>
      </c>
    </row>
    <row r="3">
      <c r="A3" s="2" t="inlineStr">
        <is>
          <t>Source: 2022 Census of Governments + Annual Survey of State and Local Govt Finances. Refreshed 2026-05-01.</t>
        </is>
      </c>
    </row>
    <row r="5">
      <c r="A5" s="1" t="inlineStr">
        <is>
          <t>ENTITY COUNT BY STATE × BUCKET (counties + munis + townships)</t>
        </is>
      </c>
    </row>
    <row r="6">
      <c r="A6" s="3" t="inlineStr">
        <is>
          <t>State</t>
        </is>
      </c>
      <c r="B6" s="3" t="inlineStr">
        <is>
          <t>&lt;1K</t>
        </is>
      </c>
      <c r="C6" s="3" t="inlineStr">
        <is>
          <t>1K-5K</t>
        </is>
      </c>
      <c r="D6" s="3" t="inlineStr">
        <is>
          <t>5K-10K</t>
        </is>
      </c>
      <c r="E6" s="3" t="inlineStr">
        <is>
          <t>10K-20K</t>
        </is>
      </c>
      <c r="F6" s="3" t="inlineStr">
        <is>
          <t>20K-50K</t>
        </is>
      </c>
      <c r="G6" s="3" t="inlineStr">
        <is>
          <t>50K-100K</t>
        </is>
      </c>
      <c r="H6" s="3" t="inlineStr">
        <is>
          <t>100K+</t>
        </is>
      </c>
      <c r="I6" s="3" t="inlineStr">
        <is>
          <t>Special Districts</t>
        </is>
      </c>
      <c r="J6" s="3" t="inlineStr">
        <is>
          <t>TOTAL ENTITIES</t>
        </is>
      </c>
      <c r="K6" s="3" t="inlineStr">
        <is>
          <t>TOTAL TAM ($M)</t>
        </is>
      </c>
    </row>
    <row r="7">
      <c r="A7" s="4" t="inlineStr">
        <is>
          <t>AL</t>
        </is>
      </c>
      <c r="B7" s="5" t="n">
        <v>179</v>
      </c>
      <c r="C7" s="5" t="n">
        <v>153</v>
      </c>
      <c r="D7" s="5" t="n">
        <v>62</v>
      </c>
      <c r="E7" s="5" t="n">
        <v>53</v>
      </c>
      <c r="F7" s="5" t="n">
        <v>46</v>
      </c>
      <c r="G7" s="5" t="n">
        <v>20</v>
      </c>
      <c r="H7" s="5" t="n">
        <v>15</v>
      </c>
      <c r="I7" s="5" t="n">
        <v>540</v>
      </c>
      <c r="J7" s="6">
        <f>SUM(B7:I7)</f>
        <v/>
      </c>
      <c r="K7" s="7">
        <f>'AL'!B22/1000000</f>
        <v/>
      </c>
    </row>
    <row r="8">
      <c r="A8" s="4" t="inlineStr">
        <is>
          <t>AK</t>
        </is>
      </c>
      <c r="B8" s="5" t="n">
        <v>66</v>
      </c>
      <c r="C8" s="5" t="n">
        <v>50</v>
      </c>
      <c r="D8" s="5" t="n">
        <v>17</v>
      </c>
      <c r="E8" s="5" t="n">
        <v>13</v>
      </c>
      <c r="F8" s="5" t="n">
        <v>10</v>
      </c>
      <c r="G8" s="5" t="n">
        <v>4</v>
      </c>
      <c r="H8" s="5" t="n">
        <v>2</v>
      </c>
      <c r="I8" s="5" t="n">
        <v>15</v>
      </c>
      <c r="J8" s="6">
        <f>SUM(B8:I8)</f>
        <v/>
      </c>
      <c r="K8" s="7">
        <f>'AK'!B22/1000000</f>
        <v/>
      </c>
    </row>
    <row r="9">
      <c r="A9" s="4" t="inlineStr">
        <is>
          <t>AZ</t>
        </is>
      </c>
      <c r="B9" s="5" t="n">
        <v>27</v>
      </c>
      <c r="C9" s="5" t="n">
        <v>27</v>
      </c>
      <c r="D9" s="5" t="n">
        <v>13</v>
      </c>
      <c r="E9" s="5" t="n">
        <v>12</v>
      </c>
      <c r="F9" s="5" t="n">
        <v>13</v>
      </c>
      <c r="G9" s="5" t="n">
        <v>7</v>
      </c>
      <c r="H9" s="5" t="n">
        <v>7</v>
      </c>
      <c r="I9" s="5" t="n">
        <v>318</v>
      </c>
      <c r="J9" s="6">
        <f>SUM(B9:I9)</f>
        <v/>
      </c>
      <c r="K9" s="7">
        <f>'AZ'!B22/1000000</f>
        <v/>
      </c>
    </row>
    <row r="10">
      <c r="A10" s="4" t="inlineStr">
        <is>
          <t>AR</t>
        </is>
      </c>
      <c r="B10" s="5" t="n">
        <v>195</v>
      </c>
      <c r="C10" s="5" t="n">
        <v>167</v>
      </c>
      <c r="D10" s="5" t="n">
        <v>68</v>
      </c>
      <c r="E10" s="5" t="n">
        <v>58</v>
      </c>
      <c r="F10" s="5" t="n">
        <v>51</v>
      </c>
      <c r="G10" s="5" t="n">
        <v>21</v>
      </c>
      <c r="H10" s="5" t="n">
        <v>17</v>
      </c>
      <c r="I10" s="5" t="n">
        <v>723</v>
      </c>
      <c r="J10" s="6">
        <f>SUM(B10:I10)</f>
        <v/>
      </c>
      <c r="K10" s="7">
        <f>'AR'!B22/1000000</f>
        <v/>
      </c>
    </row>
    <row r="11">
      <c r="A11" s="4" t="inlineStr">
        <is>
          <t>CA</t>
        </is>
      </c>
      <c r="B11" s="5" t="n">
        <v>111</v>
      </c>
      <c r="C11" s="5" t="n">
        <v>123</v>
      </c>
      <c r="D11" s="5" t="n">
        <v>66</v>
      </c>
      <c r="E11" s="5" t="n">
        <v>72</v>
      </c>
      <c r="F11" s="5" t="n">
        <v>82</v>
      </c>
      <c r="G11" s="5" t="n">
        <v>43</v>
      </c>
      <c r="H11" s="5" t="n">
        <v>43</v>
      </c>
      <c r="I11" s="5" t="n">
        <v>2767</v>
      </c>
      <c r="J11" s="6">
        <f>SUM(B11:I11)</f>
        <v/>
      </c>
      <c r="K11" s="7">
        <f>'CA'!B22/1000000</f>
        <v/>
      </c>
    </row>
    <row r="12">
      <c r="A12" s="4" t="inlineStr">
        <is>
          <t>CO</t>
        </is>
      </c>
      <c r="B12" s="5" t="n">
        <v>81</v>
      </c>
      <c r="C12" s="5" t="n">
        <v>82</v>
      </c>
      <c r="D12" s="5" t="n">
        <v>41</v>
      </c>
      <c r="E12" s="5" t="n">
        <v>39</v>
      </c>
      <c r="F12" s="5" t="n">
        <v>44</v>
      </c>
      <c r="G12" s="5" t="n">
        <v>23</v>
      </c>
      <c r="H12" s="5" t="n">
        <v>23</v>
      </c>
      <c r="I12" s="5" t="n">
        <v>2540</v>
      </c>
      <c r="J12" s="6">
        <f>SUM(B12:I12)</f>
        <v/>
      </c>
      <c r="K12" s="7">
        <f>'CO'!B22/1000000</f>
        <v/>
      </c>
    </row>
    <row r="13">
      <c r="A13" s="4" t="inlineStr">
        <is>
          <t>CT</t>
        </is>
      </c>
      <c r="B13" s="5" t="n">
        <v>77</v>
      </c>
      <c r="C13" s="5" t="n">
        <v>58</v>
      </c>
      <c r="D13" s="5" t="n">
        <v>19</v>
      </c>
      <c r="E13" s="5" t="n">
        <v>12</v>
      </c>
      <c r="F13" s="5" t="n">
        <v>9</v>
      </c>
      <c r="G13" s="5" t="n">
        <v>3</v>
      </c>
      <c r="H13" s="5" t="n">
        <v>1</v>
      </c>
      <c r="I13" s="5" t="n">
        <v>460</v>
      </c>
      <c r="J13" s="6">
        <f>SUM(B13:I13)</f>
        <v/>
      </c>
      <c r="K13" s="7">
        <f>'CT'!B22/1000000</f>
        <v/>
      </c>
    </row>
    <row r="14">
      <c r="A14" s="4" t="inlineStr">
        <is>
          <t>DE</t>
        </is>
      </c>
      <c r="B14" s="5" t="n">
        <v>17</v>
      </c>
      <c r="C14" s="5" t="n">
        <v>17</v>
      </c>
      <c r="D14" s="5" t="n">
        <v>7</v>
      </c>
      <c r="E14" s="5" t="n">
        <v>6</v>
      </c>
      <c r="F14" s="5" t="n">
        <v>7</v>
      </c>
      <c r="G14" s="5" t="n">
        <v>3</v>
      </c>
      <c r="H14" s="5" t="n">
        <v>3</v>
      </c>
      <c r="I14" s="5" t="n">
        <v>256</v>
      </c>
      <c r="J14" s="6">
        <f>SUM(B14:I14)</f>
        <v/>
      </c>
      <c r="K14" s="7">
        <f>'DE'!B22/1000000</f>
        <v/>
      </c>
    </row>
    <row r="15">
      <c r="A15" s="4" t="inlineStr">
        <is>
          <t>FL</t>
        </is>
      </c>
      <c r="B15" s="5" t="n">
        <v>95</v>
      </c>
      <c r="C15" s="5" t="n">
        <v>107</v>
      </c>
      <c r="D15" s="5" t="n">
        <v>57</v>
      </c>
      <c r="E15" s="5" t="n">
        <v>62</v>
      </c>
      <c r="F15" s="5" t="n">
        <v>74</v>
      </c>
      <c r="G15" s="5" t="n">
        <v>41</v>
      </c>
      <c r="H15" s="5" t="n">
        <v>42</v>
      </c>
      <c r="I15" s="5" t="n">
        <v>1134</v>
      </c>
      <c r="J15" s="6">
        <f>SUM(B15:I15)</f>
        <v/>
      </c>
      <c r="K15" s="7">
        <f>'FL'!B22/1000000</f>
        <v/>
      </c>
    </row>
    <row r="16">
      <c r="A16" s="4" t="inlineStr">
        <is>
          <t>GA</t>
        </is>
      </c>
      <c r="B16" s="5" t="n">
        <v>189</v>
      </c>
      <c r="C16" s="5" t="n">
        <v>173</v>
      </c>
      <c r="D16" s="5" t="n">
        <v>81</v>
      </c>
      <c r="E16" s="5" t="n">
        <v>80</v>
      </c>
      <c r="F16" s="5" t="n">
        <v>83</v>
      </c>
      <c r="G16" s="5" t="n">
        <v>42</v>
      </c>
      <c r="H16" s="5" t="n">
        <v>42</v>
      </c>
      <c r="I16" s="5" t="n">
        <v>720</v>
      </c>
      <c r="J16" s="6">
        <f>SUM(B16:I16)</f>
        <v/>
      </c>
      <c r="K16" s="7">
        <f>'GA'!B22/1000000</f>
        <v/>
      </c>
    </row>
    <row r="17">
      <c r="A17" s="4" t="inlineStr">
        <is>
          <t>HI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1</v>
      </c>
      <c r="H17" s="5" t="n">
        <v>1</v>
      </c>
      <c r="I17" s="5" t="n">
        <v>17</v>
      </c>
      <c r="J17" s="6">
        <f>SUM(B17:I17)</f>
        <v/>
      </c>
      <c r="K17" s="7">
        <f>'HI'!B22/1000000</f>
        <v/>
      </c>
    </row>
    <row r="18">
      <c r="A18" s="4" t="inlineStr">
        <is>
          <t>ID</t>
        </is>
      </c>
      <c r="B18" s="5" t="n">
        <v>78</v>
      </c>
      <c r="C18" s="5" t="n">
        <v>68</v>
      </c>
      <c r="D18" s="5" t="n">
        <v>29</v>
      </c>
      <c r="E18" s="5" t="n">
        <v>26</v>
      </c>
      <c r="F18" s="5" t="n">
        <v>24</v>
      </c>
      <c r="G18" s="5" t="n">
        <v>11</v>
      </c>
      <c r="H18" s="5" t="n">
        <v>8</v>
      </c>
      <c r="I18" s="5" t="n">
        <v>1058</v>
      </c>
      <c r="J18" s="6">
        <f>SUM(B18:I18)</f>
        <v/>
      </c>
      <c r="K18" s="7">
        <f>'ID'!B22/1000000</f>
        <v/>
      </c>
    </row>
    <row r="19">
      <c r="A19" s="4" t="inlineStr">
        <is>
          <t>IL</t>
        </is>
      </c>
      <c r="B19" s="5" t="n">
        <v>864</v>
      </c>
      <c r="C19" s="5" t="n">
        <v>791</v>
      </c>
      <c r="D19" s="5" t="n">
        <v>342</v>
      </c>
      <c r="E19" s="5" t="n">
        <v>297</v>
      </c>
      <c r="F19" s="5" t="n">
        <v>295</v>
      </c>
      <c r="G19" s="5" t="n">
        <v>142</v>
      </c>
      <c r="H19" s="5" t="n">
        <v>100</v>
      </c>
      <c r="I19" s="5" t="n">
        <v>3050</v>
      </c>
      <c r="J19" s="6">
        <f>SUM(B19:I19)</f>
        <v/>
      </c>
      <c r="K19" s="7">
        <f>'IL'!B22/1000000</f>
        <v/>
      </c>
    </row>
    <row r="20">
      <c r="A20" s="4" t="inlineStr">
        <is>
          <t>IN</t>
        </is>
      </c>
      <c r="B20" s="5" t="n">
        <v>703</v>
      </c>
      <c r="C20" s="5" t="n">
        <v>499</v>
      </c>
      <c r="D20" s="5" t="n">
        <v>169</v>
      </c>
      <c r="E20" s="5" t="n">
        <v>122</v>
      </c>
      <c r="F20" s="5" t="n">
        <v>100</v>
      </c>
      <c r="G20" s="5" t="n">
        <v>43</v>
      </c>
      <c r="H20" s="5" t="n">
        <v>29</v>
      </c>
      <c r="I20" s="5" t="n">
        <v>1262</v>
      </c>
      <c r="J20" s="6">
        <f>SUM(B20:I20)</f>
        <v/>
      </c>
      <c r="K20" s="7">
        <f>'IN'!B22/1000000</f>
        <v/>
      </c>
    </row>
    <row r="21">
      <c r="A21" s="4" t="inlineStr">
        <is>
          <t>IA</t>
        </is>
      </c>
      <c r="B21" s="5" t="n">
        <v>422</v>
      </c>
      <c r="C21" s="5" t="n">
        <v>317</v>
      </c>
      <c r="D21" s="5" t="n">
        <v>115</v>
      </c>
      <c r="E21" s="5" t="n">
        <v>87</v>
      </c>
      <c r="F21" s="5" t="n">
        <v>64</v>
      </c>
      <c r="G21" s="5" t="n">
        <v>21</v>
      </c>
      <c r="H21" s="5" t="n">
        <v>14</v>
      </c>
      <c r="I21" s="5" t="n">
        <v>562</v>
      </c>
      <c r="J21" s="6">
        <f>SUM(B21:I21)</f>
        <v/>
      </c>
      <c r="K21" s="7">
        <f>'IA'!B22/1000000</f>
        <v/>
      </c>
    </row>
    <row r="22">
      <c r="A22" s="4" t="inlineStr">
        <is>
          <t>KS</t>
        </is>
      </c>
      <c r="B22" s="5" t="n">
        <v>1007</v>
      </c>
      <c r="C22" s="5" t="n">
        <v>606</v>
      </c>
      <c r="D22" s="5" t="n">
        <v>171</v>
      </c>
      <c r="E22" s="5" t="n">
        <v>106</v>
      </c>
      <c r="F22" s="5" t="n">
        <v>70</v>
      </c>
      <c r="G22" s="5" t="n">
        <v>23</v>
      </c>
      <c r="H22" s="5" t="n">
        <v>12</v>
      </c>
      <c r="I22" s="5" t="n">
        <v>1535</v>
      </c>
      <c r="J22" s="6">
        <f>SUM(B22:I22)</f>
        <v/>
      </c>
      <c r="K22" s="7">
        <f>'KS'!B22/1000000</f>
        <v/>
      </c>
    </row>
    <row r="23">
      <c r="A23" s="4" t="inlineStr">
        <is>
          <t>KY</t>
        </is>
      </c>
      <c r="B23" s="5" t="n">
        <v>162</v>
      </c>
      <c r="C23" s="5" t="n">
        <v>146</v>
      </c>
      <c r="D23" s="5" t="n">
        <v>64</v>
      </c>
      <c r="E23" s="5" t="n">
        <v>58</v>
      </c>
      <c r="F23" s="5" t="n">
        <v>57</v>
      </c>
      <c r="G23" s="5" t="n">
        <v>27</v>
      </c>
      <c r="H23" s="5" t="n">
        <v>22</v>
      </c>
      <c r="I23" s="5" t="n">
        <v>720</v>
      </c>
      <c r="J23" s="6">
        <f>SUM(B23:I23)</f>
        <v/>
      </c>
      <c r="K23" s="7">
        <f>'KY'!B22/1000000</f>
        <v/>
      </c>
    </row>
    <row r="24">
      <c r="A24" s="4" t="inlineStr">
        <is>
          <t>LA</t>
        </is>
      </c>
      <c r="B24" s="5" t="n">
        <v>118</v>
      </c>
      <c r="C24" s="5" t="n">
        <v>104</v>
      </c>
      <c r="D24" s="5" t="n">
        <v>43</v>
      </c>
      <c r="E24" s="5" t="n">
        <v>38</v>
      </c>
      <c r="F24" s="5" t="n">
        <v>35</v>
      </c>
      <c r="G24" s="5" t="n">
        <v>15</v>
      </c>
      <c r="H24" s="5" t="n">
        <v>11</v>
      </c>
      <c r="I24" s="5" t="n">
        <v>95</v>
      </c>
      <c r="J24" s="6">
        <f>SUM(B24:I24)</f>
        <v/>
      </c>
      <c r="K24" s="7">
        <f>'LA'!B22/1000000</f>
        <v/>
      </c>
    </row>
    <row r="25">
      <c r="A25" s="4" t="inlineStr">
        <is>
          <t>ME</t>
        </is>
      </c>
      <c r="B25" s="5" t="n">
        <v>278</v>
      </c>
      <c r="C25" s="5" t="n">
        <v>154</v>
      </c>
      <c r="D25" s="5" t="n">
        <v>37</v>
      </c>
      <c r="E25" s="5" t="n">
        <v>20</v>
      </c>
      <c r="F25" s="5" t="n">
        <v>12</v>
      </c>
      <c r="G25" s="5" t="n">
        <v>3</v>
      </c>
      <c r="H25" s="5" t="n">
        <v>1</v>
      </c>
      <c r="I25" s="5" t="n">
        <v>226</v>
      </c>
      <c r="J25" s="6">
        <f>SUM(B25:I25)</f>
        <v/>
      </c>
      <c r="K25" s="7">
        <f>'ME'!B22/1000000</f>
        <v/>
      </c>
    </row>
    <row r="26">
      <c r="A26" s="4" t="inlineStr">
        <is>
          <t>MD</t>
        </is>
      </c>
      <c r="B26" s="5" t="n">
        <v>47</v>
      </c>
      <c r="C26" s="5" t="n">
        <v>46</v>
      </c>
      <c r="D26" s="5" t="n">
        <v>22</v>
      </c>
      <c r="E26" s="5" t="n">
        <v>22</v>
      </c>
      <c r="F26" s="5" t="n">
        <v>22</v>
      </c>
      <c r="G26" s="5" t="n">
        <v>10</v>
      </c>
      <c r="H26" s="5" t="n">
        <v>11</v>
      </c>
      <c r="I26" s="5" t="n">
        <v>90</v>
      </c>
      <c r="J26" s="6">
        <f>SUM(B26:I26)</f>
        <v/>
      </c>
      <c r="K26" s="7">
        <f>'MD'!B22/1000000</f>
        <v/>
      </c>
    </row>
    <row r="27">
      <c r="A27" s="4" t="inlineStr">
        <is>
          <t>MA</t>
        </is>
      </c>
      <c r="B27" s="5" t="n">
        <v>130</v>
      </c>
      <c r="C27" s="5" t="n">
        <v>109</v>
      </c>
      <c r="D27" s="5" t="n">
        <v>42</v>
      </c>
      <c r="E27" s="5" t="n">
        <v>31</v>
      </c>
      <c r="F27" s="5" t="n">
        <v>26</v>
      </c>
      <c r="G27" s="5" t="n">
        <v>13</v>
      </c>
      <c r="H27" s="5" t="n">
        <v>5</v>
      </c>
      <c r="I27" s="5" t="n">
        <v>480</v>
      </c>
      <c r="J27" s="6">
        <f>SUM(B27:I27)</f>
        <v/>
      </c>
      <c r="K27" s="7">
        <f>'MA'!B22/1000000</f>
        <v/>
      </c>
    </row>
    <row r="28">
      <c r="A28" s="4" t="inlineStr">
        <is>
          <t>MI</t>
        </is>
      </c>
      <c r="B28" s="5" t="n">
        <v>807</v>
      </c>
      <c r="C28" s="5" t="n">
        <v>564</v>
      </c>
      <c r="D28" s="5" t="n">
        <v>185</v>
      </c>
      <c r="E28" s="5" t="n">
        <v>129</v>
      </c>
      <c r="F28" s="5" t="n">
        <v>101</v>
      </c>
      <c r="G28" s="5" t="n">
        <v>42</v>
      </c>
      <c r="H28" s="5" t="n">
        <v>28</v>
      </c>
      <c r="I28" s="5" t="n">
        <v>451</v>
      </c>
      <c r="J28" s="6">
        <f>SUM(B28:I28)</f>
        <v/>
      </c>
      <c r="K28" s="7">
        <f>'MI'!B22/1000000</f>
        <v/>
      </c>
    </row>
    <row r="29">
      <c r="A29" s="4" t="inlineStr">
        <is>
          <t>MN</t>
        </is>
      </c>
      <c r="B29" s="5" t="n">
        <v>1191</v>
      </c>
      <c r="C29" s="5" t="n">
        <v>833</v>
      </c>
      <c r="D29" s="5" t="n">
        <v>271</v>
      </c>
      <c r="E29" s="5" t="n">
        <v>189</v>
      </c>
      <c r="F29" s="5" t="n">
        <v>144</v>
      </c>
      <c r="G29" s="5" t="n">
        <v>59</v>
      </c>
      <c r="H29" s="5" t="n">
        <v>34</v>
      </c>
      <c r="I29" s="5" t="n">
        <v>482</v>
      </c>
      <c r="J29" s="6">
        <f>SUM(B29:I29)</f>
        <v/>
      </c>
      <c r="K29" s="7">
        <f>'MN'!B22/1000000</f>
        <v/>
      </c>
    </row>
    <row r="30">
      <c r="A30" s="4" t="inlineStr">
        <is>
          <t>MS</t>
        </is>
      </c>
      <c r="B30" s="5" t="n">
        <v>116</v>
      </c>
      <c r="C30" s="5" t="n">
        <v>103</v>
      </c>
      <c r="D30" s="5" t="n">
        <v>45</v>
      </c>
      <c r="E30" s="5" t="n">
        <v>42</v>
      </c>
      <c r="F30" s="5" t="n">
        <v>40</v>
      </c>
      <c r="G30" s="5" t="n">
        <v>18</v>
      </c>
      <c r="H30" s="5" t="n">
        <v>15</v>
      </c>
      <c r="I30" s="5" t="n">
        <v>467</v>
      </c>
      <c r="J30" s="6">
        <f>SUM(B30:I30)</f>
        <v/>
      </c>
      <c r="K30" s="7">
        <f>'MS'!B22/1000000</f>
        <v/>
      </c>
    </row>
    <row r="31">
      <c r="A31" s="4" t="inlineStr">
        <is>
          <t>MO</t>
        </is>
      </c>
      <c r="B31" s="5" t="n">
        <v>491</v>
      </c>
      <c r="C31" s="5" t="n">
        <v>395</v>
      </c>
      <c r="D31" s="5" t="n">
        <v>156</v>
      </c>
      <c r="E31" s="5" t="n">
        <v>130</v>
      </c>
      <c r="F31" s="5" t="n">
        <v>115</v>
      </c>
      <c r="G31" s="5" t="n">
        <v>51</v>
      </c>
      <c r="H31" s="5" t="n">
        <v>42</v>
      </c>
      <c r="I31" s="5" t="n">
        <v>1620</v>
      </c>
      <c r="J31" s="6">
        <f>SUM(B31:I31)</f>
        <v/>
      </c>
      <c r="K31" s="7">
        <f>'MO'!B22/1000000</f>
        <v/>
      </c>
    </row>
    <row r="32">
      <c r="A32" s="4" t="inlineStr">
        <is>
          <t>MT</t>
        </is>
      </c>
      <c r="B32" s="5" t="n">
        <v>58</v>
      </c>
      <c r="C32" s="5" t="n">
        <v>49</v>
      </c>
      <c r="D32" s="5" t="n">
        <v>22</v>
      </c>
      <c r="E32" s="5" t="n">
        <v>21</v>
      </c>
      <c r="F32" s="5" t="n">
        <v>18</v>
      </c>
      <c r="G32" s="5" t="n">
        <v>7</v>
      </c>
      <c r="H32" s="5" t="n">
        <v>6</v>
      </c>
      <c r="I32" s="5" t="n">
        <v>813</v>
      </c>
      <c r="J32" s="6">
        <f>SUM(B32:I32)</f>
        <v/>
      </c>
      <c r="K32" s="7">
        <f>'MT'!B22/1000000</f>
        <v/>
      </c>
    </row>
    <row r="33">
      <c r="A33" s="4" t="inlineStr">
        <is>
          <t>NE</t>
        </is>
      </c>
      <c r="B33" s="5" t="n">
        <v>477</v>
      </c>
      <c r="C33" s="5" t="n">
        <v>312</v>
      </c>
      <c r="D33" s="5" t="n">
        <v>100</v>
      </c>
      <c r="E33" s="5" t="n">
        <v>70</v>
      </c>
      <c r="F33" s="5" t="n">
        <v>52</v>
      </c>
      <c r="G33" s="5" t="n">
        <v>17</v>
      </c>
      <c r="H33" s="5" t="n">
        <v>10</v>
      </c>
      <c r="I33" s="5" t="n">
        <v>1300</v>
      </c>
      <c r="J33" s="6">
        <f>SUM(B33:I33)</f>
        <v/>
      </c>
      <c r="K33" s="7">
        <f>'NE'!B22/1000000</f>
        <v/>
      </c>
    </row>
    <row r="34">
      <c r="A34" s="4" t="inlineStr">
        <is>
          <t>NV</t>
        </is>
      </c>
      <c r="B34" s="5" t="n">
        <v>6</v>
      </c>
      <c r="C34" s="5" t="n">
        <v>6</v>
      </c>
      <c r="D34" s="5" t="n">
        <v>4</v>
      </c>
      <c r="E34" s="5" t="n">
        <v>4</v>
      </c>
      <c r="F34" s="5" t="n">
        <v>6</v>
      </c>
      <c r="G34" s="5" t="n">
        <v>4</v>
      </c>
      <c r="H34" s="5" t="n">
        <v>5</v>
      </c>
      <c r="I34" s="5" t="n">
        <v>175</v>
      </c>
      <c r="J34" s="6">
        <f>SUM(B34:I34)</f>
        <v/>
      </c>
      <c r="K34" s="7">
        <f>'NV'!B22/1000000</f>
        <v/>
      </c>
    </row>
    <row r="35">
      <c r="A35" s="4" t="inlineStr">
        <is>
          <t>NH</t>
        </is>
      </c>
      <c r="B35" s="5" t="n">
        <v>121</v>
      </c>
      <c r="C35" s="5" t="n">
        <v>76</v>
      </c>
      <c r="D35" s="5" t="n">
        <v>21</v>
      </c>
      <c r="E35" s="5" t="n">
        <v>12</v>
      </c>
      <c r="F35" s="5" t="n">
        <v>9</v>
      </c>
      <c r="G35" s="5" t="n">
        <v>4</v>
      </c>
      <c r="H35" s="5" t="n">
        <v>1</v>
      </c>
      <c r="I35" s="5" t="n">
        <v>142</v>
      </c>
      <c r="J35" s="6">
        <f>SUM(B35:I35)</f>
        <v/>
      </c>
      <c r="K35" s="7">
        <f>'NH'!B22/1000000</f>
        <v/>
      </c>
    </row>
    <row r="36">
      <c r="A36" s="4" t="inlineStr">
        <is>
          <t>NJ</t>
        </is>
      </c>
      <c r="B36" s="5" t="n">
        <v>130</v>
      </c>
      <c r="C36" s="5" t="n">
        <v>143</v>
      </c>
      <c r="D36" s="5" t="n">
        <v>75</v>
      </c>
      <c r="E36" s="5" t="n">
        <v>77</v>
      </c>
      <c r="F36" s="5" t="n">
        <v>84</v>
      </c>
      <c r="G36" s="5" t="n">
        <v>41</v>
      </c>
      <c r="H36" s="5" t="n">
        <v>36</v>
      </c>
      <c r="I36" s="5" t="n">
        <v>281</v>
      </c>
      <c r="J36" s="6">
        <f>SUM(B36:I36)</f>
        <v/>
      </c>
      <c r="K36" s="7">
        <f>'NJ'!B22/1000000</f>
        <v/>
      </c>
    </row>
    <row r="37">
      <c r="A37" s="4" t="inlineStr">
        <is>
          <t>NM</t>
        </is>
      </c>
      <c r="B37" s="5" t="n">
        <v>41</v>
      </c>
      <c r="C37" s="5" t="n">
        <v>37</v>
      </c>
      <c r="D37" s="5" t="n">
        <v>16</v>
      </c>
      <c r="E37" s="5" t="n">
        <v>15</v>
      </c>
      <c r="F37" s="5" t="n">
        <v>16</v>
      </c>
      <c r="G37" s="5" t="n">
        <v>7</v>
      </c>
      <c r="H37" s="5" t="n">
        <v>6</v>
      </c>
      <c r="I37" s="5" t="n">
        <v>685</v>
      </c>
      <c r="J37" s="6">
        <f>SUM(B37:I37)</f>
        <v/>
      </c>
      <c r="K37" s="7">
        <f>'NM'!B22/1000000</f>
        <v/>
      </c>
    </row>
    <row r="38">
      <c r="A38" s="4" t="inlineStr">
        <is>
          <t>NY</t>
        </is>
      </c>
      <c r="B38" s="5" t="n">
        <v>510</v>
      </c>
      <c r="C38" s="5" t="n">
        <v>457</v>
      </c>
      <c r="D38" s="5" t="n">
        <v>192</v>
      </c>
      <c r="E38" s="5" t="n">
        <v>162</v>
      </c>
      <c r="F38" s="5" t="n">
        <v>158</v>
      </c>
      <c r="G38" s="5" t="n">
        <v>76</v>
      </c>
      <c r="H38" s="5" t="n">
        <v>49</v>
      </c>
      <c r="I38" s="5" t="n">
        <v>1183</v>
      </c>
      <c r="J38" s="6">
        <f>SUM(B38:I38)</f>
        <v/>
      </c>
      <c r="K38" s="7">
        <f>'NY'!B22/1000000</f>
        <v/>
      </c>
    </row>
    <row r="39">
      <c r="A39" s="4" t="inlineStr">
        <is>
          <t>NC</t>
        </is>
      </c>
      <c r="B39" s="5" t="n">
        <v>194</v>
      </c>
      <c r="C39" s="5" t="n">
        <v>174</v>
      </c>
      <c r="D39" s="5" t="n">
        <v>77</v>
      </c>
      <c r="E39" s="5" t="n">
        <v>72</v>
      </c>
      <c r="F39" s="5" t="n">
        <v>70</v>
      </c>
      <c r="G39" s="5" t="n">
        <v>34</v>
      </c>
      <c r="H39" s="5" t="n">
        <v>31</v>
      </c>
      <c r="I39" s="5" t="n">
        <v>311</v>
      </c>
      <c r="J39" s="6">
        <f>SUM(B39:I39)</f>
        <v/>
      </c>
      <c r="K39" s="7">
        <f>'NC'!B22/1000000</f>
        <v/>
      </c>
    </row>
    <row r="40">
      <c r="A40" s="4" t="inlineStr">
        <is>
          <t>ND</t>
        </is>
      </c>
      <c r="B40" s="5" t="n">
        <v>912</v>
      </c>
      <c r="C40" s="5" t="n">
        <v>526</v>
      </c>
      <c r="D40" s="5" t="n">
        <v>138</v>
      </c>
      <c r="E40" s="5" t="n">
        <v>77</v>
      </c>
      <c r="F40" s="5" t="n">
        <v>47</v>
      </c>
      <c r="G40" s="5" t="n">
        <v>14</v>
      </c>
      <c r="H40" s="5" t="n">
        <v>7</v>
      </c>
      <c r="I40" s="5" t="n">
        <v>763</v>
      </c>
      <c r="J40" s="6">
        <f>SUM(B40:I40)</f>
        <v/>
      </c>
      <c r="K40" s="7">
        <f>'ND'!B22/1000000</f>
        <v/>
      </c>
    </row>
    <row r="41">
      <c r="A41" s="4" t="inlineStr">
        <is>
          <t>OH</t>
        </is>
      </c>
      <c r="B41" s="5" t="n">
        <v>983</v>
      </c>
      <c r="C41" s="5" t="n">
        <v>707</v>
      </c>
      <c r="D41" s="5" t="n">
        <v>240</v>
      </c>
      <c r="E41" s="5" t="n">
        <v>174</v>
      </c>
      <c r="F41" s="5" t="n">
        <v>137</v>
      </c>
      <c r="G41" s="5" t="n">
        <v>56</v>
      </c>
      <c r="H41" s="5" t="n">
        <v>36</v>
      </c>
      <c r="I41" s="5" t="n">
        <v>776</v>
      </c>
      <c r="J41" s="6">
        <f>SUM(B41:I41)</f>
        <v/>
      </c>
      <c r="K41" s="7">
        <f>'OH'!B22/1000000</f>
        <v/>
      </c>
    </row>
    <row r="42">
      <c r="A42" s="4" t="inlineStr">
        <is>
          <t>OK</t>
        </is>
      </c>
      <c r="B42" s="5" t="n">
        <v>232</v>
      </c>
      <c r="C42" s="5" t="n">
        <v>198</v>
      </c>
      <c r="D42" s="5" t="n">
        <v>79</v>
      </c>
      <c r="E42" s="5" t="n">
        <v>67</v>
      </c>
      <c r="F42" s="5" t="n">
        <v>58</v>
      </c>
      <c r="G42" s="5" t="n">
        <v>24</v>
      </c>
      <c r="H42" s="5" t="n">
        <v>18</v>
      </c>
      <c r="I42" s="5" t="n">
        <v>560</v>
      </c>
      <c r="J42" s="6">
        <f>SUM(B42:I42)</f>
        <v/>
      </c>
      <c r="K42" s="7">
        <f>'OK'!B22/1000000</f>
        <v/>
      </c>
    </row>
    <row r="43">
      <c r="A43" s="4" t="inlineStr">
        <is>
          <t>OR</t>
        </is>
      </c>
      <c r="B43" s="5" t="n">
        <v>86</v>
      </c>
      <c r="C43" s="5" t="n">
        <v>75</v>
      </c>
      <c r="D43" s="5" t="n">
        <v>33</v>
      </c>
      <c r="E43" s="5" t="n">
        <v>30</v>
      </c>
      <c r="F43" s="5" t="n">
        <v>28</v>
      </c>
      <c r="G43" s="5" t="n">
        <v>13</v>
      </c>
      <c r="H43" s="5" t="n">
        <v>12</v>
      </c>
      <c r="I43" s="5" t="n">
        <v>1057</v>
      </c>
      <c r="J43" s="6">
        <f>SUM(B43:I43)</f>
        <v/>
      </c>
      <c r="K43" s="7">
        <f>'OR'!B22/1000000</f>
        <v/>
      </c>
    </row>
    <row r="44">
      <c r="A44" s="4" t="inlineStr">
        <is>
          <t>PA</t>
        </is>
      </c>
      <c r="B44" s="5" t="n">
        <v>1129</v>
      </c>
      <c r="C44" s="5" t="n">
        <v>805</v>
      </c>
      <c r="D44" s="5" t="n">
        <v>268</v>
      </c>
      <c r="E44" s="5" t="n">
        <v>190</v>
      </c>
      <c r="F44" s="5" t="n">
        <v>145</v>
      </c>
      <c r="G44" s="5" t="n">
        <v>57</v>
      </c>
      <c r="H44" s="5" t="n">
        <v>34</v>
      </c>
      <c r="I44" s="5" t="n">
        <v>1620</v>
      </c>
      <c r="J44" s="6">
        <f>SUM(B44:I44)</f>
        <v/>
      </c>
      <c r="K44" s="7">
        <f>'PA'!B22/1000000</f>
        <v/>
      </c>
    </row>
    <row r="45">
      <c r="A45" s="4" t="inlineStr">
        <is>
          <t>RI</t>
        </is>
      </c>
      <c r="B45" s="5" t="n">
        <v>17</v>
      </c>
      <c r="C45" s="5" t="n">
        <v>12</v>
      </c>
      <c r="D45" s="5" t="n">
        <v>4</v>
      </c>
      <c r="E45" s="5" t="n">
        <v>3</v>
      </c>
      <c r="F45" s="5" t="n">
        <v>2</v>
      </c>
      <c r="G45" s="5" t="n">
        <v>1</v>
      </c>
      <c r="H45" s="5" t="n">
        <v>0</v>
      </c>
      <c r="I45" s="5" t="n">
        <v>84</v>
      </c>
      <c r="J45" s="6">
        <f>SUM(B45:I45)</f>
        <v/>
      </c>
      <c r="K45" s="7">
        <f>'RI'!B22/1000000</f>
        <v/>
      </c>
    </row>
    <row r="46">
      <c r="A46" s="4" t="inlineStr">
        <is>
          <t>SC</t>
        </is>
      </c>
      <c r="B46" s="5" t="n">
        <v>95</v>
      </c>
      <c r="C46" s="5" t="n">
        <v>85</v>
      </c>
      <c r="D46" s="5" t="n">
        <v>38</v>
      </c>
      <c r="E46" s="5" t="n">
        <v>35</v>
      </c>
      <c r="F46" s="5" t="n">
        <v>34</v>
      </c>
      <c r="G46" s="5" t="n">
        <v>16</v>
      </c>
      <c r="H46" s="5" t="n">
        <v>14</v>
      </c>
      <c r="I46" s="5" t="n">
        <v>297</v>
      </c>
      <c r="J46" s="6">
        <f>SUM(B46:I46)</f>
        <v/>
      </c>
      <c r="K46" s="7">
        <f>'SC'!B22/1000000</f>
        <v/>
      </c>
    </row>
    <row r="47">
      <c r="A47" s="4" t="inlineStr">
        <is>
          <t>SD</t>
        </is>
      </c>
      <c r="B47" s="5" t="n">
        <v>669</v>
      </c>
      <c r="C47" s="5" t="n">
        <v>394</v>
      </c>
      <c r="D47" s="5" t="n">
        <v>107</v>
      </c>
      <c r="E47" s="5" t="n">
        <v>65</v>
      </c>
      <c r="F47" s="5" t="n">
        <v>42</v>
      </c>
      <c r="G47" s="5" t="n">
        <v>13</v>
      </c>
      <c r="H47" s="5" t="n">
        <v>8</v>
      </c>
      <c r="I47" s="5" t="n">
        <v>350</v>
      </c>
      <c r="J47" s="6">
        <f>SUM(B47:I47)</f>
        <v/>
      </c>
      <c r="K47" s="7">
        <f>'SD'!B22/1000000</f>
        <v/>
      </c>
    </row>
    <row r="48">
      <c r="A48" s="4" t="inlineStr">
        <is>
          <t>TN</t>
        </is>
      </c>
      <c r="B48" s="5" t="n">
        <v>122</v>
      </c>
      <c r="C48" s="5" t="n">
        <v>110</v>
      </c>
      <c r="D48" s="5" t="n">
        <v>51</v>
      </c>
      <c r="E48" s="5" t="n">
        <v>51</v>
      </c>
      <c r="F48" s="5" t="n">
        <v>52</v>
      </c>
      <c r="G48" s="5" t="n">
        <v>26</v>
      </c>
      <c r="H48" s="5" t="n">
        <v>25</v>
      </c>
      <c r="I48" s="5" t="n">
        <v>525</v>
      </c>
      <c r="J48" s="6">
        <f>SUM(B48:I48)</f>
        <v/>
      </c>
      <c r="K48" s="7">
        <f>'TN'!B22/1000000</f>
        <v/>
      </c>
    </row>
    <row r="49">
      <c r="A49" s="4" t="inlineStr">
        <is>
          <t>TX</t>
        </is>
      </c>
      <c r="B49" s="5" t="n">
        <v>366</v>
      </c>
      <c r="C49" s="5" t="n">
        <v>366</v>
      </c>
      <c r="D49" s="5" t="n">
        <v>179</v>
      </c>
      <c r="E49" s="5" t="n">
        <v>174</v>
      </c>
      <c r="F49" s="5" t="n">
        <v>192</v>
      </c>
      <c r="G49" s="5" t="n">
        <v>98</v>
      </c>
      <c r="H49" s="5" t="n">
        <v>100</v>
      </c>
      <c r="I49" s="5" t="n">
        <v>3100</v>
      </c>
      <c r="J49" s="6">
        <f>SUM(B49:I49)</f>
        <v/>
      </c>
      <c r="K49" s="7">
        <f>'TX'!B22/1000000</f>
        <v/>
      </c>
    </row>
    <row r="50">
      <c r="A50" s="4" t="inlineStr">
        <is>
          <t>UT</t>
        </is>
      </c>
      <c r="B50" s="5" t="n">
        <v>74</v>
      </c>
      <c r="C50" s="5" t="n">
        <v>73</v>
      </c>
      <c r="D50" s="5" t="n">
        <v>35</v>
      </c>
      <c r="E50" s="5" t="n">
        <v>32</v>
      </c>
      <c r="F50" s="5" t="n">
        <v>33</v>
      </c>
      <c r="G50" s="5" t="n">
        <v>15</v>
      </c>
      <c r="H50" s="5" t="n">
        <v>15</v>
      </c>
      <c r="I50" s="5" t="n">
        <v>1129</v>
      </c>
      <c r="J50" s="6">
        <f>SUM(B50:I50)</f>
        <v/>
      </c>
      <c r="K50" s="7">
        <f>'UT'!B22/1000000</f>
        <v/>
      </c>
    </row>
    <row r="51">
      <c r="A51" s="4" t="inlineStr">
        <is>
          <t>VT</t>
        </is>
      </c>
      <c r="B51" s="5" t="n">
        <v>157</v>
      </c>
      <c r="C51" s="5" t="n">
        <v>90</v>
      </c>
      <c r="D51" s="5" t="n">
        <v>24</v>
      </c>
      <c r="E51" s="5" t="n">
        <v>13</v>
      </c>
      <c r="F51" s="5" t="n">
        <v>9</v>
      </c>
      <c r="G51" s="5" t="n">
        <v>4</v>
      </c>
      <c r="H51" s="5" t="n">
        <v>1</v>
      </c>
      <c r="I51" s="5" t="n">
        <v>156</v>
      </c>
      <c r="J51" s="6">
        <f>SUM(B51:I51)</f>
        <v/>
      </c>
      <c r="K51" s="7">
        <f>'VT'!B22/1000000</f>
        <v/>
      </c>
    </row>
    <row r="52">
      <c r="A52" s="4" t="inlineStr">
        <is>
          <t>VA</t>
        </is>
      </c>
      <c r="B52" s="5" t="n">
        <v>81</v>
      </c>
      <c r="C52" s="5" t="n">
        <v>77</v>
      </c>
      <c r="D52" s="5" t="n">
        <v>37</v>
      </c>
      <c r="E52" s="5" t="n">
        <v>39</v>
      </c>
      <c r="F52" s="5" t="n">
        <v>43</v>
      </c>
      <c r="G52" s="5" t="n">
        <v>23</v>
      </c>
      <c r="H52" s="5" t="n">
        <v>24</v>
      </c>
      <c r="I52" s="5" t="n">
        <v>195</v>
      </c>
      <c r="J52" s="6">
        <f>SUM(B52:I52)</f>
        <v/>
      </c>
      <c r="K52" s="7">
        <f>'VA'!B22/1000000</f>
        <v/>
      </c>
    </row>
    <row r="53">
      <c r="A53" s="4" t="inlineStr">
        <is>
          <t>WA</t>
        </is>
      </c>
      <c r="B53" s="5" t="n">
        <v>84</v>
      </c>
      <c r="C53" s="5" t="n">
        <v>83</v>
      </c>
      <c r="D53" s="5" t="n">
        <v>40</v>
      </c>
      <c r="E53" s="5" t="n">
        <v>37</v>
      </c>
      <c r="F53" s="5" t="n">
        <v>39</v>
      </c>
      <c r="G53" s="5" t="n">
        <v>18</v>
      </c>
      <c r="H53" s="5" t="n">
        <v>19</v>
      </c>
      <c r="I53" s="5" t="n">
        <v>1336</v>
      </c>
      <c r="J53" s="6">
        <f>SUM(B53:I53)</f>
        <v/>
      </c>
      <c r="K53" s="7">
        <f>'WA'!B22/1000000</f>
        <v/>
      </c>
    </row>
    <row r="54">
      <c r="A54" s="4" t="inlineStr">
        <is>
          <t>WV</t>
        </is>
      </c>
      <c r="B54" s="5" t="n">
        <v>90</v>
      </c>
      <c r="C54" s="5" t="n">
        <v>80</v>
      </c>
      <c r="D54" s="5" t="n">
        <v>35</v>
      </c>
      <c r="E54" s="5" t="n">
        <v>30</v>
      </c>
      <c r="F54" s="5" t="n">
        <v>28</v>
      </c>
      <c r="G54" s="5" t="n">
        <v>13</v>
      </c>
      <c r="H54" s="5" t="n">
        <v>11</v>
      </c>
      <c r="I54" s="5" t="n">
        <v>358</v>
      </c>
      <c r="J54" s="6">
        <f>SUM(B54:I54)</f>
        <v/>
      </c>
      <c r="K54" s="7">
        <f>'WV'!B22/1000000</f>
        <v/>
      </c>
    </row>
    <row r="55">
      <c r="A55" s="4" t="inlineStr">
        <is>
          <t>WI</t>
        </is>
      </c>
      <c r="B55" s="5" t="n">
        <v>836</v>
      </c>
      <c r="C55" s="5" t="n">
        <v>587</v>
      </c>
      <c r="D55" s="5" t="n">
        <v>192</v>
      </c>
      <c r="E55" s="5" t="n">
        <v>135</v>
      </c>
      <c r="F55" s="5" t="n">
        <v>105</v>
      </c>
      <c r="G55" s="5" t="n">
        <v>42</v>
      </c>
      <c r="H55" s="5" t="n">
        <v>26</v>
      </c>
      <c r="I55" s="5" t="n">
        <v>730</v>
      </c>
      <c r="J55" s="6">
        <f>SUM(B55:I55)</f>
        <v/>
      </c>
      <c r="K55" s="7">
        <f>'WI'!B22/1000000</f>
        <v/>
      </c>
    </row>
    <row r="56">
      <c r="A56" s="4" t="inlineStr">
        <is>
          <t>WY</t>
        </is>
      </c>
      <c r="B56" s="5" t="n">
        <v>44</v>
      </c>
      <c r="C56" s="5" t="n">
        <v>35</v>
      </c>
      <c r="D56" s="5" t="n">
        <v>14</v>
      </c>
      <c r="E56" s="5" t="n">
        <v>12</v>
      </c>
      <c r="F56" s="5" t="n">
        <v>10</v>
      </c>
      <c r="G56" s="5" t="n">
        <v>4</v>
      </c>
      <c r="H56" s="5" t="n">
        <v>3</v>
      </c>
      <c r="I56" s="5" t="n">
        <v>683</v>
      </c>
      <c r="J56" s="6">
        <f>SUM(B56:I56)</f>
        <v/>
      </c>
      <c r="K56" s="7">
        <f>'WY'!B22/1000000</f>
        <v/>
      </c>
    </row>
    <row r="57">
      <c r="A57" s="4" t="inlineStr">
        <is>
          <t>DC</t>
        </is>
      </c>
      <c r="B57" s="5" t="n">
        <v>0</v>
      </c>
      <c r="C57" s="5" t="n">
        <v>1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1</v>
      </c>
      <c r="J57" s="6">
        <f>SUM(B57:I57)</f>
        <v/>
      </c>
      <c r="K57" s="7">
        <f>'DC'!B22/1000000</f>
        <v/>
      </c>
    </row>
    <row r="58">
      <c r="A58" s="8" t="inlineStr">
        <is>
          <t>US TOTAL</t>
        </is>
      </c>
      <c r="B58" s="9">
        <f>SUM(B7:B57)</f>
        <v/>
      </c>
      <c r="C58" s="9">
        <f>SUM(C7:C57)</f>
        <v/>
      </c>
      <c r="D58" s="9">
        <f>SUM(D7:D57)</f>
        <v/>
      </c>
      <c r="E58" s="9">
        <f>SUM(E7:E57)</f>
        <v/>
      </c>
      <c r="F58" s="9">
        <f>SUM(F7:F57)</f>
        <v/>
      </c>
      <c r="G58" s="9">
        <f>SUM(G7:G57)</f>
        <v/>
      </c>
      <c r="H58" s="9">
        <f>SUM(H7:H57)</f>
        <v/>
      </c>
      <c r="I58" s="9">
        <f>SUM(I7:I57)</f>
        <v/>
      </c>
      <c r="J58" s="9">
        <f>SUM(J7:J57)</f>
        <v/>
      </c>
      <c r="K58" s="10">
        <f>SUM(K7:K57)</f>
        <v/>
      </c>
    </row>
    <row r="60">
      <c r="A60" s="1" t="inlineStr">
        <is>
          <t>ESTIMATED ANNUAL OPERATING SPEND ($M) BY STATE × BUCKET</t>
        </is>
      </c>
    </row>
    <row r="61">
      <c r="A61" s="3" t="inlineStr">
        <is>
          <t>State</t>
        </is>
      </c>
      <c r="B61" s="3" t="inlineStr">
        <is>
          <t>&lt;1K</t>
        </is>
      </c>
      <c r="C61" s="3" t="inlineStr">
        <is>
          <t>1K-5K</t>
        </is>
      </c>
      <c r="D61" s="3" t="inlineStr">
        <is>
          <t>5K-10K</t>
        </is>
      </c>
      <c r="E61" s="3" t="inlineStr">
        <is>
          <t>10K-20K</t>
        </is>
      </c>
      <c r="F61" s="3" t="inlineStr">
        <is>
          <t>20K-50K</t>
        </is>
      </c>
      <c r="G61" s="3" t="inlineStr">
        <is>
          <t>50K-100K</t>
        </is>
      </c>
      <c r="H61" s="3" t="inlineStr">
        <is>
          <t>100K+</t>
        </is>
      </c>
      <c r="I61" s="3" t="inlineStr">
        <is>
          <t>Special Districts</t>
        </is>
      </c>
      <c r="J61" s="3" t="inlineStr">
        <is>
          <t>TOTAL SPEND ($M)</t>
        </is>
      </c>
    </row>
    <row r="62">
      <c r="A62" s="4" t="inlineStr">
        <is>
          <t>AL</t>
        </is>
      </c>
      <c r="B62" s="11" t="n">
        <v>137.5</v>
      </c>
      <c r="C62" s="11" t="n">
        <v>890.7</v>
      </c>
      <c r="D62" s="11" t="n">
        <v>1117.1</v>
      </c>
      <c r="E62" s="11" t="n">
        <v>2083.7</v>
      </c>
      <c r="F62" s="11" t="n">
        <v>4508.5</v>
      </c>
      <c r="G62" s="11" t="n">
        <v>4760</v>
      </c>
      <c r="H62" s="11" t="n">
        <v>13090</v>
      </c>
      <c r="I62" s="11" t="n">
        <v>3488.4</v>
      </c>
      <c r="J62" s="12">
        <f>SUM(B62:I62)</f>
        <v/>
      </c>
    </row>
    <row r="63">
      <c r="A63" s="4" t="inlineStr">
        <is>
          <t>AK</t>
        </is>
      </c>
      <c r="B63" s="11" t="n">
        <v>74.2</v>
      </c>
      <c r="C63" s="11" t="n">
        <v>427.3</v>
      </c>
      <c r="D63" s="11" t="n">
        <v>450.9</v>
      </c>
      <c r="E63" s="11" t="n">
        <v>754.2</v>
      </c>
      <c r="F63" s="11" t="n">
        <v>1426</v>
      </c>
      <c r="G63" s="11" t="n">
        <v>1400</v>
      </c>
      <c r="H63" s="11" t="n">
        <v>2887.5</v>
      </c>
      <c r="I63" s="11" t="n">
        <v>142.5</v>
      </c>
      <c r="J63" s="12">
        <f>SUM(B63:I63)</f>
        <v/>
      </c>
    </row>
    <row r="64">
      <c r="A64" s="4" t="inlineStr">
        <is>
          <t>AZ</t>
        </is>
      </c>
      <c r="B64" s="11" t="n">
        <v>23.1</v>
      </c>
      <c r="C64" s="11" t="n">
        <v>175.2</v>
      </c>
      <c r="D64" s="11" t="n">
        <v>262.4</v>
      </c>
      <c r="E64" s="11" t="n">
        <v>537.3</v>
      </c>
      <c r="F64" s="11" t="n">
        <v>1454.8</v>
      </c>
      <c r="G64" s="11" t="n">
        <v>1915.2</v>
      </c>
      <c r="H64" s="11" t="n">
        <v>7315</v>
      </c>
      <c r="I64" s="11" t="n">
        <v>2296</v>
      </c>
      <c r="J64" s="12">
        <f>SUM(B64:I64)</f>
        <v/>
      </c>
    </row>
    <row r="65">
      <c r="A65" s="4" t="inlineStr">
        <is>
          <t>AR</t>
        </is>
      </c>
      <c r="B65" s="11" t="n">
        <v>140.9</v>
      </c>
      <c r="C65" s="11" t="n">
        <v>915.6</v>
      </c>
      <c r="D65" s="11" t="n">
        <v>1153</v>
      </c>
      <c r="E65" s="11" t="n">
        <v>2148.2</v>
      </c>
      <c r="F65" s="11" t="n">
        <v>4667.4</v>
      </c>
      <c r="G65" s="11" t="n">
        <v>4659.2</v>
      </c>
      <c r="H65" s="11" t="n">
        <v>14168</v>
      </c>
      <c r="I65" s="11" t="n">
        <v>4395.8</v>
      </c>
      <c r="J65" s="12">
        <f>SUM(B65:I65)</f>
        <v/>
      </c>
    </row>
    <row r="66">
      <c r="A66" s="4" t="inlineStr">
        <is>
          <t>CA</t>
        </is>
      </c>
      <c r="B66" s="11" t="n">
        <v>144.9</v>
      </c>
      <c r="C66" s="11" t="n">
        <v>1210.1</v>
      </c>
      <c r="D66" s="11" t="n">
        <v>2034.3</v>
      </c>
      <c r="E66" s="11" t="n">
        <v>4985.7</v>
      </c>
      <c r="F66" s="11" t="n">
        <v>14604.3</v>
      </c>
      <c r="G66" s="11" t="n">
        <v>19000.8</v>
      </c>
      <c r="H66" s="11" t="n">
        <v>77038.5</v>
      </c>
      <c r="I66" s="11" t="n">
        <v>30492.3</v>
      </c>
      <c r="J66" s="12">
        <f>SUM(B66:I66)</f>
        <v/>
      </c>
    </row>
    <row r="67">
      <c r="A67" s="4" t="inlineStr">
        <is>
          <t>CO</t>
        </is>
      </c>
      <c r="B67" s="11" t="n">
        <v>76.5</v>
      </c>
      <c r="C67" s="11" t="n">
        <v>590.2</v>
      </c>
      <c r="D67" s="11" t="n">
        <v>912.5</v>
      </c>
      <c r="E67" s="11" t="n">
        <v>1900.7</v>
      </c>
      <c r="F67" s="11" t="n">
        <v>5338.2</v>
      </c>
      <c r="G67" s="11" t="n">
        <v>6703.2</v>
      </c>
      <c r="H67" s="11" t="n">
        <v>25063.5</v>
      </c>
      <c r="I67" s="11" t="n">
        <v>20269.2</v>
      </c>
      <c r="J67" s="12">
        <f>SUM(B67:I67)</f>
        <v/>
      </c>
    </row>
    <row r="68">
      <c r="A68" s="4" t="inlineStr">
        <is>
          <t>CT</t>
        </is>
      </c>
      <c r="B68" s="11" t="n">
        <v>33.1</v>
      </c>
      <c r="C68" s="11" t="n">
        <v>208.2</v>
      </c>
      <c r="D68" s="11" t="n">
        <v>252.9</v>
      </c>
      <c r="E68" s="11" t="n">
        <v>404.2</v>
      </c>
      <c r="F68" s="11" t="n">
        <v>860.2</v>
      </c>
      <c r="G68" s="11" t="n">
        <v>717.5</v>
      </c>
      <c r="H68" s="11" t="n">
        <v>1925</v>
      </c>
      <c r="I68" s="11" t="n">
        <v>4370</v>
      </c>
      <c r="J68" s="12">
        <f>SUM(B68:I68)</f>
        <v/>
      </c>
    </row>
    <row r="69">
      <c r="A69" s="4" t="inlineStr">
        <is>
          <t>DE</t>
        </is>
      </c>
      <c r="B69" s="11" t="n">
        <v>15.3</v>
      </c>
      <c r="C69" s="11" t="n">
        <v>114.8</v>
      </c>
      <c r="D69" s="11" t="n">
        <v>149.1</v>
      </c>
      <c r="E69" s="11" t="n">
        <v>294</v>
      </c>
      <c r="F69" s="11" t="n">
        <v>871.1</v>
      </c>
      <c r="G69" s="11" t="n">
        <v>896</v>
      </c>
      <c r="H69" s="11" t="n">
        <v>3850</v>
      </c>
      <c r="I69" s="11" t="n">
        <v>1945.6</v>
      </c>
      <c r="J69" s="12">
        <f>SUM(B69:I69)</f>
        <v/>
      </c>
    </row>
    <row r="70">
      <c r="A70" s="4" t="inlineStr">
        <is>
          <t>FL</t>
        </is>
      </c>
      <c r="B70" s="11" t="n">
        <v>85.5</v>
      </c>
      <c r="C70" s="11" t="n">
        <v>728.7</v>
      </c>
      <c r="D70" s="11" t="n">
        <v>1211.3</v>
      </c>
      <c r="E70" s="11" t="n">
        <v>2948.4</v>
      </c>
      <c r="F70" s="11" t="n">
        <v>8949.700000000001</v>
      </c>
      <c r="G70" s="11" t="n">
        <v>12208</v>
      </c>
      <c r="H70" s="11" t="n">
        <v>49280</v>
      </c>
      <c r="I70" s="11" t="n">
        <v>8618.4</v>
      </c>
      <c r="J70" s="12">
        <f>SUM(B70:I70)</f>
        <v/>
      </c>
    </row>
    <row r="71">
      <c r="A71" s="4" t="inlineStr">
        <is>
          <t>GA</t>
        </is>
      </c>
      <c r="B71" s="11" t="n">
        <v>153.7</v>
      </c>
      <c r="C71" s="11" t="n">
        <v>1074.3</v>
      </c>
      <c r="D71" s="11" t="n">
        <v>1541.9</v>
      </c>
      <c r="E71" s="11" t="n">
        <v>3265.9</v>
      </c>
      <c r="F71" s="11" t="n">
        <v>8275.1</v>
      </c>
      <c r="G71" s="11" t="n">
        <v>10080</v>
      </c>
      <c r="H71" s="11" t="n">
        <v>36729</v>
      </c>
      <c r="I71" s="11" t="n">
        <v>4924.8</v>
      </c>
      <c r="J71" s="12">
        <f>SUM(B71:I71)</f>
        <v/>
      </c>
    </row>
    <row r="72">
      <c r="A72" s="4" t="inlineStr">
        <is>
          <t>HI</t>
        </is>
      </c>
      <c r="B72" s="11" t="n">
        <v>1.4</v>
      </c>
      <c r="C72" s="11" t="n">
        <v>0</v>
      </c>
      <c r="D72" s="11" t="n">
        <v>0</v>
      </c>
      <c r="E72" s="11" t="n">
        <v>0</v>
      </c>
      <c r="F72" s="11" t="n">
        <v>134.8</v>
      </c>
      <c r="G72" s="11" t="n">
        <v>336</v>
      </c>
      <c r="H72" s="11" t="n">
        <v>1155</v>
      </c>
      <c r="I72" s="11" t="n">
        <v>193.8</v>
      </c>
      <c r="J72" s="12">
        <f>SUM(B72:I72)</f>
        <v/>
      </c>
    </row>
    <row r="73">
      <c r="A73" s="4" t="inlineStr">
        <is>
          <t>ID</t>
        </is>
      </c>
      <c r="B73" s="11" t="n">
        <v>67.3</v>
      </c>
      <c r="C73" s="11" t="n">
        <v>446.3</v>
      </c>
      <c r="D73" s="11" t="n">
        <v>582.8</v>
      </c>
      <c r="E73" s="11" t="n">
        <v>1125.2</v>
      </c>
      <c r="F73" s="11" t="n">
        <v>2547.4</v>
      </c>
      <c r="G73" s="11" t="n">
        <v>2766.4</v>
      </c>
      <c r="H73" s="11" t="n">
        <v>7315</v>
      </c>
      <c r="I73" s="11" t="n">
        <v>7638.8</v>
      </c>
      <c r="J73" s="12">
        <f>SUM(B73:I73)</f>
        <v/>
      </c>
    </row>
    <row r="74">
      <c r="A74" s="4" t="inlineStr">
        <is>
          <t>IL</t>
        </is>
      </c>
      <c r="B74" s="11" t="n">
        <v>400.6</v>
      </c>
      <c r="C74" s="11" t="n">
        <v>3074.7</v>
      </c>
      <c r="D74" s="11" t="n">
        <v>4775.5</v>
      </c>
      <c r="E74" s="11" t="n">
        <v>10530.9</v>
      </c>
      <c r="F74" s="11" t="n">
        <v>28678.4</v>
      </c>
      <c r="G74" s="11" t="n">
        <v>35464.4</v>
      </c>
      <c r="H74" s="11" t="n">
        <v>123623.5</v>
      </c>
      <c r="I74" s="11" t="n">
        <v>22021</v>
      </c>
      <c r="J74" s="12">
        <f>SUM(B74:I74)</f>
        <v/>
      </c>
    </row>
    <row r="75">
      <c r="A75" s="4" t="inlineStr">
        <is>
          <t>IN</t>
        </is>
      </c>
      <c r="B75" s="11" t="n">
        <v>269</v>
      </c>
      <c r="C75" s="11" t="n">
        <v>1619.6</v>
      </c>
      <c r="D75" s="11" t="n">
        <v>2010.3</v>
      </c>
      <c r="E75" s="11" t="n">
        <v>3689</v>
      </c>
      <c r="F75" s="11" t="n">
        <v>8189.6</v>
      </c>
      <c r="G75" s="11" t="n">
        <v>8913.1</v>
      </c>
      <c r="H75" s="11" t="n">
        <v>26180</v>
      </c>
      <c r="I75" s="11" t="n">
        <v>8152.5</v>
      </c>
      <c r="J75" s="12">
        <f>SUM(B75:I75)</f>
        <v/>
      </c>
    </row>
    <row r="76">
      <c r="A76" s="4" t="inlineStr">
        <is>
          <t>IA</t>
        </is>
      </c>
      <c r="B76" s="11" t="n">
        <v>324</v>
      </c>
      <c r="C76" s="11" t="n">
        <v>1846.3</v>
      </c>
      <c r="D76" s="11" t="n">
        <v>2071.8</v>
      </c>
      <c r="E76" s="11" t="n">
        <v>3423.6</v>
      </c>
      <c r="F76" s="11" t="n">
        <v>6260.8</v>
      </c>
      <c r="G76" s="11" t="n">
        <v>4950.4</v>
      </c>
      <c r="H76" s="11" t="n">
        <v>12435.5</v>
      </c>
      <c r="I76" s="11" t="n">
        <v>3630.5</v>
      </c>
      <c r="J76" s="12">
        <f>SUM(B76:I76)</f>
        <v/>
      </c>
    </row>
    <row r="77">
      <c r="A77" s="4" t="inlineStr">
        <is>
          <t>KS</t>
        </is>
      </c>
      <c r="B77" s="11" t="n">
        <v>382.2</v>
      </c>
      <c r="C77" s="11" t="n">
        <v>1984.7</v>
      </c>
      <c r="D77" s="11" t="n">
        <v>2065.2</v>
      </c>
      <c r="E77" s="11" t="n">
        <v>3205.9</v>
      </c>
      <c r="F77" s="11" t="n">
        <v>5657.3</v>
      </c>
      <c r="G77" s="11" t="n">
        <v>4688.6</v>
      </c>
      <c r="H77" s="11" t="n">
        <v>9817.5</v>
      </c>
      <c r="I77" s="11" t="n">
        <v>9916.1</v>
      </c>
      <c r="J77" s="12">
        <f>SUM(B77:I77)</f>
        <v/>
      </c>
    </row>
    <row r="78">
      <c r="A78" s="4" t="inlineStr">
        <is>
          <t>KY</t>
        </is>
      </c>
      <c r="B78" s="11" t="n">
        <v>124.5</v>
      </c>
      <c r="C78" s="11" t="n">
        <v>861.5</v>
      </c>
      <c r="D78" s="11" t="n">
        <v>1149.1</v>
      </c>
      <c r="E78" s="11" t="n">
        <v>2206.3</v>
      </c>
      <c r="F78" s="11" t="n">
        <v>5246.3</v>
      </c>
      <c r="G78" s="11" t="n">
        <v>5997.6</v>
      </c>
      <c r="H78" s="11" t="n">
        <v>17671.5</v>
      </c>
      <c r="I78" s="11" t="n">
        <v>4651.2</v>
      </c>
      <c r="J78" s="12">
        <f>SUM(B78:I78)</f>
        <v/>
      </c>
    </row>
    <row r="79">
      <c r="A79" s="4" t="inlineStr">
        <is>
          <t>LA</t>
        </is>
      </c>
      <c r="B79" s="11" t="n">
        <v>96.2</v>
      </c>
      <c r="C79" s="11" t="n">
        <v>645.4</v>
      </c>
      <c r="D79" s="11" t="n">
        <v>819.2</v>
      </c>
      <c r="E79" s="11" t="n">
        <v>1564.9</v>
      </c>
      <c r="F79" s="11" t="n">
        <v>3521</v>
      </c>
      <c r="G79" s="11" t="n">
        <v>3628.8</v>
      </c>
      <c r="H79" s="11" t="n">
        <v>9702</v>
      </c>
      <c r="I79" s="11" t="n">
        <v>649.8</v>
      </c>
      <c r="J79" s="12">
        <f>SUM(B79:I79)</f>
        <v/>
      </c>
    </row>
    <row r="80">
      <c r="A80" s="4" t="inlineStr">
        <is>
          <t>ME</t>
        </is>
      </c>
      <c r="B80" s="11" t="n">
        <v>77.3</v>
      </c>
      <c r="C80" s="11" t="n">
        <v>365.8</v>
      </c>
      <c r="D80" s="11" t="n">
        <v>336.6</v>
      </c>
      <c r="E80" s="11" t="n">
        <v>480.1</v>
      </c>
      <c r="F80" s="11" t="n">
        <v>795.1</v>
      </c>
      <c r="G80" s="11" t="n">
        <v>538.6</v>
      </c>
      <c r="H80" s="11" t="n">
        <v>731.5</v>
      </c>
      <c r="I80" s="11" t="n">
        <v>1631.7</v>
      </c>
      <c r="J80" s="12">
        <f>SUM(B80:I80)</f>
        <v/>
      </c>
    </row>
    <row r="81">
      <c r="A81" s="4" t="inlineStr">
        <is>
          <t>MD</t>
        </is>
      </c>
      <c r="B81" s="11" t="n">
        <v>48.6</v>
      </c>
      <c r="C81" s="11" t="n">
        <v>359.6</v>
      </c>
      <c r="D81" s="11" t="n">
        <v>537.3</v>
      </c>
      <c r="E81" s="11" t="n">
        <v>1188.2</v>
      </c>
      <c r="F81" s="11" t="n">
        <v>3016</v>
      </c>
      <c r="G81" s="11" t="n">
        <v>3348.8</v>
      </c>
      <c r="H81" s="11" t="n">
        <v>14168</v>
      </c>
      <c r="I81" s="11" t="n">
        <v>786.6</v>
      </c>
      <c r="J81" s="12">
        <f>SUM(B81:I81)</f>
        <v/>
      </c>
    </row>
    <row r="82">
      <c r="A82" s="4" t="inlineStr">
        <is>
          <t>MA</t>
        </is>
      </c>
      <c r="B82" s="11" t="n">
        <v>55.5</v>
      </c>
      <c r="C82" s="11" t="n">
        <v>383.6</v>
      </c>
      <c r="D82" s="11" t="n">
        <v>549.2</v>
      </c>
      <c r="E82" s="11" t="n">
        <v>1081.1</v>
      </c>
      <c r="F82" s="11" t="n">
        <v>2462.3</v>
      </c>
      <c r="G82" s="11" t="n">
        <v>3276</v>
      </c>
      <c r="H82" s="11" t="n">
        <v>8008</v>
      </c>
      <c r="I82" s="11" t="n">
        <v>4742.4</v>
      </c>
      <c r="J82" s="12">
        <f>SUM(B82:I82)</f>
        <v/>
      </c>
    </row>
    <row r="83">
      <c r="A83" s="4" t="inlineStr">
        <is>
          <t>MI</t>
        </is>
      </c>
      <c r="B83" s="11" t="n">
        <v>285.9</v>
      </c>
      <c r="C83" s="11" t="n">
        <v>1699.9</v>
      </c>
      <c r="D83" s="11" t="n">
        <v>2059.7</v>
      </c>
      <c r="E83" s="11" t="n">
        <v>3690.2</v>
      </c>
      <c r="F83" s="11" t="n">
        <v>7923.4</v>
      </c>
      <c r="G83" s="11" t="n">
        <v>8449</v>
      </c>
      <c r="H83" s="11" t="n">
        <v>25525.5</v>
      </c>
      <c r="I83" s="11" t="n">
        <v>2913.5</v>
      </c>
      <c r="J83" s="12">
        <f>SUM(B83:I83)</f>
        <v/>
      </c>
    </row>
    <row r="84">
      <c r="A84" s="4" t="inlineStr">
        <is>
          <t>MN</t>
        </is>
      </c>
      <c r="B84" s="11" t="n">
        <v>485.7</v>
      </c>
      <c r="C84" s="11" t="n">
        <v>2870.5</v>
      </c>
      <c r="D84" s="11" t="n">
        <v>3427.1</v>
      </c>
      <c r="E84" s="11" t="n">
        <v>6152.6</v>
      </c>
      <c r="F84" s="11" t="n">
        <v>12872.6</v>
      </c>
      <c r="G84" s="11" t="n">
        <v>13526.1</v>
      </c>
      <c r="H84" s="11" t="n">
        <v>37306.5</v>
      </c>
      <c r="I84" s="11" t="n">
        <v>3480</v>
      </c>
      <c r="J84" s="12">
        <f>SUM(B84:I84)</f>
        <v/>
      </c>
    </row>
    <row r="85">
      <c r="A85" s="4" t="inlineStr">
        <is>
          <t>MS</t>
        </is>
      </c>
      <c r="B85" s="11" t="n">
        <v>84.09999999999999</v>
      </c>
      <c r="C85" s="11" t="n">
        <v>571.8</v>
      </c>
      <c r="D85" s="11" t="n">
        <v>760.6</v>
      </c>
      <c r="E85" s="11" t="n">
        <v>1503</v>
      </c>
      <c r="F85" s="11" t="n">
        <v>3489.4</v>
      </c>
      <c r="G85" s="11" t="n">
        <v>3763.2</v>
      </c>
      <c r="H85" s="11" t="n">
        <v>11088</v>
      </c>
      <c r="I85" s="11" t="n">
        <v>2839.4</v>
      </c>
      <c r="J85" s="12">
        <f>SUM(B85:I85)</f>
        <v/>
      </c>
    </row>
    <row r="86">
      <c r="A86" s="4" t="inlineStr">
        <is>
          <t>MO</t>
        </is>
      </c>
      <c r="B86" s="11" t="n">
        <v>292.7</v>
      </c>
      <c r="C86" s="11" t="n">
        <v>1892.7</v>
      </c>
      <c r="D86" s="11" t="n">
        <v>2495.5</v>
      </c>
      <c r="E86" s="11" t="n">
        <v>4833.8</v>
      </c>
      <c r="F86" s="11" t="n">
        <v>11082.8</v>
      </c>
      <c r="G86" s="11" t="n">
        <v>12203.5</v>
      </c>
      <c r="H86" s="11" t="n">
        <v>39924.5</v>
      </c>
      <c r="I86" s="11" t="n">
        <v>10465.2</v>
      </c>
      <c r="J86" s="12">
        <f>SUM(B86:I86)</f>
        <v/>
      </c>
    </row>
    <row r="87">
      <c r="A87" s="4" t="inlineStr">
        <is>
          <t>MT</t>
        </is>
      </c>
      <c r="B87" s="11" t="n">
        <v>50.2</v>
      </c>
      <c r="C87" s="11" t="n">
        <v>330.6</v>
      </c>
      <c r="D87" s="11" t="n">
        <v>439.1</v>
      </c>
      <c r="E87" s="11" t="n">
        <v>849.9</v>
      </c>
      <c r="F87" s="11" t="n">
        <v>1728.7</v>
      </c>
      <c r="G87" s="11" t="n">
        <v>1596</v>
      </c>
      <c r="H87" s="11" t="n">
        <v>5120.5</v>
      </c>
      <c r="I87" s="11" t="n">
        <v>5869.9</v>
      </c>
      <c r="J87" s="12">
        <f>SUM(B87:I87)</f>
        <v/>
      </c>
    </row>
    <row r="88">
      <c r="A88" s="4" t="inlineStr">
        <is>
          <t>NE</t>
        </is>
      </c>
      <c r="B88" s="11" t="n">
        <v>238.6</v>
      </c>
      <c r="C88" s="11" t="n">
        <v>1316.4</v>
      </c>
      <c r="D88" s="11" t="n">
        <v>1468.3</v>
      </c>
      <c r="E88" s="11" t="n">
        <v>2400.2</v>
      </c>
      <c r="F88" s="11" t="n">
        <v>4555.9</v>
      </c>
      <c r="G88" s="11" t="n">
        <v>3718.8</v>
      </c>
      <c r="H88" s="11" t="n">
        <v>7854</v>
      </c>
      <c r="I88" s="11" t="n">
        <v>8398</v>
      </c>
      <c r="J88" s="12">
        <f>SUM(B88:I88)</f>
        <v/>
      </c>
    </row>
    <row r="89">
      <c r="A89" s="4" t="inlineStr">
        <is>
          <t>NV</t>
        </is>
      </c>
      <c r="B89" s="11" t="n">
        <v>5.4</v>
      </c>
      <c r="C89" s="11" t="n">
        <v>42.7</v>
      </c>
      <c r="D89" s="11" t="n">
        <v>83.8</v>
      </c>
      <c r="E89" s="11" t="n">
        <v>173.6</v>
      </c>
      <c r="F89" s="11" t="n">
        <v>620</v>
      </c>
      <c r="G89" s="11" t="n">
        <v>1008</v>
      </c>
      <c r="H89" s="11" t="n">
        <v>4620</v>
      </c>
      <c r="I89" s="11" t="n">
        <v>1330</v>
      </c>
      <c r="J89" s="12">
        <f>SUM(B89:I89)</f>
        <v/>
      </c>
    </row>
    <row r="90">
      <c r="A90" s="4" t="inlineStr">
        <is>
          <t>NH</t>
        </is>
      </c>
      <c r="B90" s="11" t="n">
        <v>37.6</v>
      </c>
      <c r="C90" s="11" t="n">
        <v>198.7</v>
      </c>
      <c r="D90" s="11" t="n">
        <v>214</v>
      </c>
      <c r="E90" s="11" t="n">
        <v>316.1</v>
      </c>
      <c r="F90" s="11" t="n">
        <v>680.3</v>
      </c>
      <c r="G90" s="11" t="n">
        <v>720.3</v>
      </c>
      <c r="H90" s="11" t="n">
        <v>808.5</v>
      </c>
      <c r="I90" s="11" t="n">
        <v>1133.2</v>
      </c>
      <c r="J90" s="12">
        <f>SUM(B90:I90)</f>
        <v/>
      </c>
    </row>
    <row r="91">
      <c r="A91" s="4" t="inlineStr">
        <is>
          <t>NJ</t>
        </is>
      </c>
      <c r="B91" s="11" t="n">
        <v>152.1</v>
      </c>
      <c r="C91" s="11" t="n">
        <v>1257.6</v>
      </c>
      <c r="D91" s="11" t="n">
        <v>2074.9</v>
      </c>
      <c r="E91" s="11" t="n">
        <v>4861.2</v>
      </c>
      <c r="F91" s="11" t="n">
        <v>13955.9</v>
      </c>
      <c r="G91" s="11" t="n">
        <v>17326.4</v>
      </c>
      <c r="H91" s="11" t="n">
        <v>66066</v>
      </c>
      <c r="I91" s="11" t="n">
        <v>2776.3</v>
      </c>
      <c r="J91" s="12">
        <f>SUM(B91:I91)</f>
        <v/>
      </c>
    </row>
    <row r="92">
      <c r="A92" s="4" t="inlineStr">
        <is>
          <t>NM</t>
        </is>
      </c>
      <c r="B92" s="11" t="n">
        <v>31.4</v>
      </c>
      <c r="C92" s="11" t="n">
        <v>219.6</v>
      </c>
      <c r="D92" s="11" t="n">
        <v>287.3</v>
      </c>
      <c r="E92" s="11" t="n">
        <v>567.6</v>
      </c>
      <c r="F92" s="11" t="n">
        <v>1462.4</v>
      </c>
      <c r="G92" s="11" t="n">
        <v>1523.2</v>
      </c>
      <c r="H92" s="11" t="n">
        <v>4581.5</v>
      </c>
      <c r="I92" s="11" t="n">
        <v>4425.1</v>
      </c>
      <c r="J92" s="12">
        <f>SUM(B92:I92)</f>
        <v/>
      </c>
    </row>
    <row r="93">
      <c r="A93" s="4" t="inlineStr">
        <is>
          <t>NY</t>
        </is>
      </c>
      <c r="B93" s="11" t="n">
        <v>318</v>
      </c>
      <c r="C93" s="11" t="n">
        <v>2396.9</v>
      </c>
      <c r="D93" s="11" t="n">
        <v>3662.9</v>
      </c>
      <c r="E93" s="11" t="n">
        <v>7957.6</v>
      </c>
      <c r="F93" s="11" t="n">
        <v>21409.2</v>
      </c>
      <c r="G93" s="11" t="n">
        <v>26577.6</v>
      </c>
      <c r="H93" s="11" t="n">
        <v>87318</v>
      </c>
      <c r="I93" s="11" t="n">
        <v>12587.1</v>
      </c>
      <c r="J93" s="12">
        <f>SUM(B93:I93)</f>
        <v/>
      </c>
    </row>
    <row r="94">
      <c r="A94" s="4" t="inlineStr">
        <is>
          <t>NC</t>
        </is>
      </c>
      <c r="B94" s="11" t="n">
        <v>157.7</v>
      </c>
      <c r="C94" s="11" t="n">
        <v>1072.6</v>
      </c>
      <c r="D94" s="11" t="n">
        <v>1469.1</v>
      </c>
      <c r="E94" s="11" t="n">
        <v>3003.8</v>
      </c>
      <c r="F94" s="11" t="n">
        <v>7259.6</v>
      </c>
      <c r="G94" s="11" t="n">
        <v>8568</v>
      </c>
      <c r="H94" s="11" t="n">
        <v>29106</v>
      </c>
      <c r="I94" s="11" t="n">
        <v>2127.2</v>
      </c>
      <c r="J94" s="12">
        <f>SUM(B94:I94)</f>
        <v/>
      </c>
    </row>
    <row r="95">
      <c r="A95" s="4" t="inlineStr">
        <is>
          <t>ND</t>
        </is>
      </c>
      <c r="B95" s="11" t="n">
        <v>312.9</v>
      </c>
      <c r="C95" s="11" t="n">
        <v>1546.2</v>
      </c>
      <c r="D95" s="11" t="n">
        <v>1522.7</v>
      </c>
      <c r="E95" s="11" t="n">
        <v>2200</v>
      </c>
      <c r="F95" s="11" t="n">
        <v>3657.7</v>
      </c>
      <c r="G95" s="11" t="n">
        <v>2847.6</v>
      </c>
      <c r="H95" s="11" t="n">
        <v>6237</v>
      </c>
      <c r="I95" s="11" t="n">
        <v>5218.9</v>
      </c>
      <c r="J95" s="12">
        <f>SUM(B95:I95)</f>
        <v/>
      </c>
    </row>
    <row r="96">
      <c r="A96" s="4" t="inlineStr">
        <is>
          <t>OH</t>
        </is>
      </c>
      <c r="B96" s="11" t="n">
        <v>402.4</v>
      </c>
      <c r="C96" s="11" t="n">
        <v>2434.5</v>
      </c>
      <c r="D96" s="11" t="n">
        <v>2986.1</v>
      </c>
      <c r="E96" s="11" t="n">
        <v>5479.9</v>
      </c>
      <c r="F96" s="11" t="n">
        <v>11702</v>
      </c>
      <c r="G96" s="11" t="n">
        <v>12167.8</v>
      </c>
      <c r="H96" s="11" t="n">
        <v>35997.5</v>
      </c>
      <c r="I96" s="11" t="n">
        <v>5013</v>
      </c>
      <c r="J96" s="12">
        <f>SUM(B96:I96)</f>
        <v/>
      </c>
    </row>
    <row r="97">
      <c r="A97" s="4" t="inlineStr">
        <is>
          <t>OK</t>
        </is>
      </c>
      <c r="B97" s="11" t="n">
        <v>178.1</v>
      </c>
      <c r="C97" s="11" t="n">
        <v>1150.7</v>
      </c>
      <c r="D97" s="11" t="n">
        <v>1424.3</v>
      </c>
      <c r="E97" s="11" t="n">
        <v>2647.8</v>
      </c>
      <c r="F97" s="11" t="n">
        <v>5733.8</v>
      </c>
      <c r="G97" s="11" t="n">
        <v>5712</v>
      </c>
      <c r="H97" s="11" t="n">
        <v>16362.5</v>
      </c>
      <c r="I97" s="11" t="n">
        <v>3617.6</v>
      </c>
      <c r="J97" s="12">
        <f>SUM(B97:I97)</f>
        <v/>
      </c>
    </row>
    <row r="98">
      <c r="A98" s="4" t="inlineStr">
        <is>
          <t>OR</t>
        </is>
      </c>
      <c r="B98" s="11" t="n">
        <v>82</v>
      </c>
      <c r="C98" s="11" t="n">
        <v>538.4</v>
      </c>
      <c r="D98" s="11" t="n">
        <v>735.1</v>
      </c>
      <c r="E98" s="11" t="n">
        <v>1472.9</v>
      </c>
      <c r="F98" s="11" t="n">
        <v>3447</v>
      </c>
      <c r="G98" s="11" t="n">
        <v>3880.8</v>
      </c>
      <c r="H98" s="11" t="n">
        <v>13744.5</v>
      </c>
      <c r="I98" s="11" t="n">
        <v>8434.9</v>
      </c>
      <c r="J98" s="12">
        <f>SUM(B98:I98)</f>
        <v/>
      </c>
    </row>
    <row r="99">
      <c r="A99" s="4" t="inlineStr">
        <is>
          <t>PA</t>
        </is>
      </c>
      <c r="B99" s="11" t="n">
        <v>503.3</v>
      </c>
      <c r="C99" s="11" t="n">
        <v>3013.9</v>
      </c>
      <c r="D99" s="11" t="n">
        <v>3636.9</v>
      </c>
      <c r="E99" s="11" t="n">
        <v>6576.9</v>
      </c>
      <c r="F99" s="11" t="n">
        <v>13723.7</v>
      </c>
      <c r="G99" s="11" t="n">
        <v>13725.6</v>
      </c>
      <c r="H99" s="11" t="n">
        <v>39501</v>
      </c>
      <c r="I99" s="11" t="n">
        <v>11696.4</v>
      </c>
      <c r="J99" s="12">
        <f>SUM(B99:I99)</f>
        <v/>
      </c>
    </row>
    <row r="100">
      <c r="A100" s="4" t="inlineStr">
        <is>
          <t>RI</t>
        </is>
      </c>
      <c r="B100" s="11" t="n">
        <v>7.1</v>
      </c>
      <c r="C100" s="11" t="n">
        <v>38.6</v>
      </c>
      <c r="D100" s="11" t="n">
        <v>49.2</v>
      </c>
      <c r="E100" s="11" t="n">
        <v>97</v>
      </c>
      <c r="F100" s="11" t="n">
        <v>197.8</v>
      </c>
      <c r="G100" s="11" t="n">
        <v>130.9</v>
      </c>
      <c r="H100" s="11" t="n">
        <v>0</v>
      </c>
      <c r="I100" s="11" t="n">
        <v>702.2</v>
      </c>
      <c r="J100" s="12">
        <f>SUM(B100:I100)</f>
        <v/>
      </c>
    </row>
    <row r="101">
      <c r="A101" s="4" t="inlineStr">
        <is>
          <t>SC</t>
        </is>
      </c>
      <c r="B101" s="11" t="n">
        <v>72.7</v>
      </c>
      <c r="C101" s="11" t="n">
        <v>495</v>
      </c>
      <c r="D101" s="11" t="n">
        <v>685</v>
      </c>
      <c r="E101" s="11" t="n">
        <v>1381.6</v>
      </c>
      <c r="F101" s="11" t="n">
        <v>3351.7</v>
      </c>
      <c r="G101" s="11" t="n">
        <v>3808</v>
      </c>
      <c r="H101" s="11" t="n">
        <v>12435.5</v>
      </c>
      <c r="I101" s="11" t="n">
        <v>1918.6</v>
      </c>
      <c r="J101" s="12">
        <f>SUM(B101:I101)</f>
        <v/>
      </c>
    </row>
    <row r="102">
      <c r="A102" s="4" t="inlineStr">
        <is>
          <t>SD</t>
        </is>
      </c>
      <c r="B102" s="11" t="n">
        <v>230.2</v>
      </c>
      <c r="C102" s="11" t="n">
        <v>1170.9</v>
      </c>
      <c r="D102" s="11" t="n">
        <v>1196.7</v>
      </c>
      <c r="E102" s="11" t="n">
        <v>1849.3</v>
      </c>
      <c r="F102" s="11" t="n">
        <v>3209.4</v>
      </c>
      <c r="G102" s="11" t="n">
        <v>2493.1</v>
      </c>
      <c r="H102" s="11" t="n">
        <v>6545</v>
      </c>
      <c r="I102" s="11" t="n">
        <v>2261</v>
      </c>
      <c r="J102" s="12">
        <f>SUM(B102:I102)</f>
        <v/>
      </c>
    </row>
    <row r="103">
      <c r="A103" s="4" t="inlineStr">
        <is>
          <t>TN</t>
        </is>
      </c>
      <c r="B103" s="11" t="n">
        <v>93.90000000000001</v>
      </c>
      <c r="C103" s="11" t="n">
        <v>644</v>
      </c>
      <c r="D103" s="11" t="n">
        <v>917.3</v>
      </c>
      <c r="E103" s="11" t="n">
        <v>1971.8</v>
      </c>
      <c r="F103" s="11" t="n">
        <v>4932.7</v>
      </c>
      <c r="G103" s="11" t="n">
        <v>5902.4</v>
      </c>
      <c r="H103" s="11" t="n">
        <v>20944</v>
      </c>
      <c r="I103" s="11" t="n">
        <v>3391.5</v>
      </c>
      <c r="J103" s="12">
        <f>SUM(B103:I103)</f>
        <v/>
      </c>
    </row>
    <row r="104">
      <c r="A104" s="4" t="inlineStr">
        <is>
          <t>TX</t>
        </is>
      </c>
      <c r="B104" s="11" t="n">
        <v>314.2</v>
      </c>
      <c r="C104" s="11" t="n">
        <v>2377.8</v>
      </c>
      <c r="D104" s="11" t="n">
        <v>3606.6</v>
      </c>
      <c r="E104" s="11" t="n">
        <v>7695.4</v>
      </c>
      <c r="F104" s="11" t="n">
        <v>21183.4</v>
      </c>
      <c r="G104" s="11" t="n">
        <v>26280.8</v>
      </c>
      <c r="H104" s="11" t="n">
        <v>100947</v>
      </c>
      <c r="I104" s="11" t="n">
        <v>22382</v>
      </c>
      <c r="J104" s="12">
        <f>SUM(B104:I104)</f>
        <v/>
      </c>
    </row>
    <row r="105">
      <c r="A105" s="4" t="inlineStr">
        <is>
          <t>UT</t>
        </is>
      </c>
      <c r="B105" s="11" t="n">
        <v>66.59999999999999</v>
      </c>
      <c r="C105" s="11" t="n">
        <v>497.1</v>
      </c>
      <c r="D105" s="11" t="n">
        <v>743.4</v>
      </c>
      <c r="E105" s="11" t="n">
        <v>1523.2</v>
      </c>
      <c r="F105" s="11" t="n">
        <v>3974.2</v>
      </c>
      <c r="G105" s="11" t="n">
        <v>4480</v>
      </c>
      <c r="H105" s="11" t="n">
        <v>17710</v>
      </c>
      <c r="I105" s="11" t="n">
        <v>8580.4</v>
      </c>
      <c r="J105" s="12">
        <f>SUM(B105:I105)</f>
        <v/>
      </c>
    </row>
    <row r="106">
      <c r="A106" s="4" t="inlineStr">
        <is>
          <t>VT</t>
        </is>
      </c>
      <c r="B106" s="11" t="n">
        <v>55.6</v>
      </c>
      <c r="C106" s="11" t="n">
        <v>276.8</v>
      </c>
      <c r="D106" s="11" t="n">
        <v>280.4</v>
      </c>
      <c r="E106" s="11" t="n">
        <v>397.6</v>
      </c>
      <c r="F106" s="11" t="n">
        <v>768.8</v>
      </c>
      <c r="G106" s="11" t="n">
        <v>903</v>
      </c>
      <c r="H106" s="11" t="n">
        <v>770</v>
      </c>
      <c r="I106" s="11" t="n">
        <v>1185.6</v>
      </c>
      <c r="J106" s="12">
        <f>SUM(B106:I106)</f>
        <v/>
      </c>
    </row>
    <row r="107">
      <c r="A107" s="4" t="inlineStr">
        <is>
          <t>VA</t>
        </is>
      </c>
      <c r="B107" s="11" t="n">
        <v>77.3</v>
      </c>
      <c r="C107" s="11" t="n">
        <v>563.9</v>
      </c>
      <c r="D107" s="11" t="n">
        <v>820</v>
      </c>
      <c r="E107" s="11" t="n">
        <v>1818.4</v>
      </c>
      <c r="F107" s="11" t="n">
        <v>4820.7</v>
      </c>
      <c r="G107" s="11" t="n">
        <v>6232.8</v>
      </c>
      <c r="H107" s="11" t="n">
        <v>23446.5</v>
      </c>
      <c r="I107" s="11" t="n">
        <v>1556.1</v>
      </c>
      <c r="J107" s="12">
        <f>SUM(B107:I107)</f>
        <v/>
      </c>
    </row>
    <row r="108">
      <c r="A108" s="4" t="inlineStr">
        <is>
          <t>WA</t>
        </is>
      </c>
      <c r="B108" s="11" t="n">
        <v>86.90000000000001</v>
      </c>
      <c r="C108" s="11" t="n">
        <v>649.3</v>
      </c>
      <c r="D108" s="11" t="n">
        <v>976.5</v>
      </c>
      <c r="E108" s="11" t="n">
        <v>2007.7</v>
      </c>
      <c r="F108" s="11" t="n">
        <v>5376</v>
      </c>
      <c r="G108" s="11" t="n">
        <v>6053.6</v>
      </c>
      <c r="H108" s="11" t="n">
        <v>24794</v>
      </c>
      <c r="I108" s="11" t="n">
        <v>11676.6</v>
      </c>
      <c r="J108" s="12">
        <f>SUM(B108:I108)</f>
        <v/>
      </c>
    </row>
    <row r="109">
      <c r="A109" s="4" t="inlineStr">
        <is>
          <t>WV</t>
        </is>
      </c>
      <c r="B109" s="11" t="n">
        <v>69.40000000000001</v>
      </c>
      <c r="C109" s="11" t="n">
        <v>470</v>
      </c>
      <c r="D109" s="11" t="n">
        <v>628.8</v>
      </c>
      <c r="E109" s="11" t="n">
        <v>1154.3</v>
      </c>
      <c r="F109" s="11" t="n">
        <v>2619.2</v>
      </c>
      <c r="G109" s="11" t="n">
        <v>2951.2</v>
      </c>
      <c r="H109" s="11" t="n">
        <v>9163</v>
      </c>
      <c r="I109" s="11" t="n">
        <v>2312.7</v>
      </c>
      <c r="J109" s="12">
        <f>SUM(B109:I109)</f>
        <v/>
      </c>
    </row>
    <row r="110">
      <c r="A110" s="4" t="inlineStr">
        <is>
          <t>WI</t>
        </is>
      </c>
      <c r="B110" s="11" t="n">
        <v>322.3</v>
      </c>
      <c r="C110" s="11" t="n">
        <v>1917</v>
      </c>
      <c r="D110" s="11" t="n">
        <v>2303.6</v>
      </c>
      <c r="E110" s="11" t="n">
        <v>4165.6</v>
      </c>
      <c r="F110" s="11" t="n">
        <v>8858.200000000001</v>
      </c>
      <c r="G110" s="11" t="n">
        <v>9147.6</v>
      </c>
      <c r="H110" s="11" t="n">
        <v>26334</v>
      </c>
      <c r="I110" s="11" t="n">
        <v>4993.2</v>
      </c>
      <c r="J110" s="12">
        <f>SUM(B110:I110)</f>
        <v/>
      </c>
    </row>
    <row r="111">
      <c r="A111" s="4" t="inlineStr">
        <is>
          <t>WY</t>
        </is>
      </c>
      <c r="B111" s="11" t="n">
        <v>35.6</v>
      </c>
      <c r="C111" s="11" t="n">
        <v>218.5</v>
      </c>
      <c r="D111" s="11" t="n">
        <v>265.8</v>
      </c>
      <c r="E111" s="11" t="n">
        <v>478.8</v>
      </c>
      <c r="F111" s="11" t="n">
        <v>954.2</v>
      </c>
      <c r="G111" s="11" t="n">
        <v>907.2</v>
      </c>
      <c r="H111" s="11" t="n">
        <v>2772</v>
      </c>
      <c r="I111" s="11" t="n">
        <v>4671.7</v>
      </c>
      <c r="J111" s="12">
        <f>SUM(B111:I111)</f>
        <v/>
      </c>
    </row>
    <row r="112">
      <c r="A112" s="4" t="inlineStr">
        <is>
          <t>DC</t>
        </is>
      </c>
      <c r="B112" s="11" t="n">
        <v>0</v>
      </c>
      <c r="C112" s="11" t="n">
        <v>9.4</v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10.6</v>
      </c>
      <c r="J112" s="12">
        <f>SUM(B112:I112)</f>
        <v/>
      </c>
    </row>
    <row r="113">
      <c r="A113" s="8" t="inlineStr">
        <is>
          <t>US TOTAL</t>
        </is>
      </c>
      <c r="B113" s="10">
        <f>SUM(B62:B112)</f>
        <v/>
      </c>
      <c r="C113" s="10">
        <f>SUM(C62:C112)</f>
        <v/>
      </c>
      <c r="D113" s="10">
        <f>SUM(D62:D112)</f>
        <v/>
      </c>
      <c r="E113" s="10">
        <f>SUM(E62:E112)</f>
        <v/>
      </c>
      <c r="F113" s="10">
        <f>SUM(F62:F112)</f>
        <v/>
      </c>
      <c r="G113" s="10">
        <f>SUM(G62:G112)</f>
        <v/>
      </c>
      <c r="H113" s="10">
        <f>SUM(H62:H112)</f>
        <v/>
      </c>
      <c r="I113" s="10">
        <f>SUM(I62:I112)</f>
        <v/>
      </c>
      <c r="J113" s="10">
        <f>SUM(J62:J112)</f>
        <v/>
      </c>
    </row>
  </sheetData>
  <conditionalFormatting sqref="B7:B57">
    <cfRule type="colorScale" priority="1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C7:C57">
    <cfRule type="colorScale" priority="2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D7:D57">
    <cfRule type="colorScale" priority="3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E7:E57">
    <cfRule type="colorScale" priority="4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F7:F57">
    <cfRule type="colorScale" priority="5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G7:G57">
    <cfRule type="colorScale" priority="6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H7:H57">
    <cfRule type="colorScale" priority="7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B62:B112">
    <cfRule type="colorScale" priority="8">
      <colorScale>
        <cfvo type="min"/>
        <cfvo type="percentile" val="50"/>
        <cfvo type="max"/>
        <color rgb="00FEF3C7"/>
        <color rgb="00F59E0B"/>
        <color rgb="0078350F"/>
      </colorScale>
    </cfRule>
  </conditionalFormatting>
  <conditionalFormatting sqref="C62:C112">
    <cfRule type="colorScale" priority="9">
      <colorScale>
        <cfvo type="min"/>
        <cfvo type="percentile" val="50"/>
        <cfvo type="max"/>
        <color rgb="00FEF3C7"/>
        <color rgb="00F59E0B"/>
        <color rgb="0078350F"/>
      </colorScale>
    </cfRule>
  </conditionalFormatting>
  <conditionalFormatting sqref="D62:D112">
    <cfRule type="colorScale" priority="10">
      <colorScale>
        <cfvo type="min"/>
        <cfvo type="percentile" val="50"/>
        <cfvo type="max"/>
        <color rgb="00FEF3C7"/>
        <color rgb="00F59E0B"/>
        <color rgb="0078350F"/>
      </colorScale>
    </cfRule>
  </conditionalFormatting>
  <conditionalFormatting sqref="E62:E112">
    <cfRule type="colorScale" priority="11">
      <colorScale>
        <cfvo type="min"/>
        <cfvo type="percentile" val="50"/>
        <cfvo type="max"/>
        <color rgb="00FEF3C7"/>
        <color rgb="00F59E0B"/>
        <color rgb="0078350F"/>
      </colorScale>
    </cfRule>
  </conditionalFormatting>
  <conditionalFormatting sqref="F62:F112">
    <cfRule type="colorScale" priority="12">
      <colorScale>
        <cfvo type="min"/>
        <cfvo type="percentile" val="50"/>
        <cfvo type="max"/>
        <color rgb="00FEF3C7"/>
        <color rgb="00F59E0B"/>
        <color rgb="0078350F"/>
      </colorScale>
    </cfRule>
  </conditionalFormatting>
  <conditionalFormatting sqref="G62:G112">
    <cfRule type="colorScale" priority="13">
      <colorScale>
        <cfvo type="min"/>
        <cfvo type="percentile" val="50"/>
        <cfvo type="max"/>
        <color rgb="00FEF3C7"/>
        <color rgb="00F59E0B"/>
        <color rgb="0078350F"/>
      </colorScale>
    </cfRule>
  </conditionalFormatting>
  <conditionalFormatting sqref="H62:H112">
    <cfRule type="colorScale" priority="14">
      <colorScale>
        <cfvo type="min"/>
        <cfvo type="percentile" val="50"/>
        <cfvo type="max"/>
        <color rgb="00FEF3C7"/>
        <color rgb="00F59E0B"/>
        <color rgb="0078350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Methodology</t>
        </is>
      </c>
    </row>
    <row r="3">
      <c r="A3" s="13" t="inlineStr">
        <is>
          <t>Scope</t>
        </is>
      </c>
    </row>
    <row r="4" ht="60" customHeight="1">
      <c r="A4" s="14" t="inlineStr">
        <is>
          <t>U.S. local-government software market. Entity types tracked: counties / parishes, incorporated municipalities, organized townships, special districts. School districts and federal/state agencies are excluded.</t>
        </is>
      </c>
    </row>
    <row r="6">
      <c r="A6" s="13" t="inlineStr">
        <is>
          <t>Population buckets</t>
        </is>
      </c>
    </row>
    <row r="7" ht="60" customHeight="1">
      <c r="A7" s="14" t="inlineStr">
        <is>
          <t>&lt;1K, 1K-5K, 5K-10K, 10K-20K, 20K-50K, 50K-100K, 100K+. Applied to munis, counties, and townships. Special districts are not population-bucketed (size driven by purpose — water, fire, transit — not by population).</t>
        </is>
      </c>
    </row>
    <row r="9">
      <c r="A9" s="13" t="inlineStr">
        <is>
          <t>Entity counts</t>
        </is>
      </c>
    </row>
    <row r="10" ht="60" customHeight="1">
      <c r="A10" s="14" t="inlineStr">
        <is>
          <t>Sourced from the 2022 Census of Governments. Per-state counts encoded in data.py. National totals reconcile to Census within ~1-3% (rounding from compilation of state-by-state filings).</t>
        </is>
      </c>
    </row>
    <row r="12">
      <c r="A12" s="13" t="inlineStr">
        <is>
          <t>Bucket distribution</t>
        </is>
      </c>
    </row>
    <row r="13" ht="60" customHeight="1">
      <c r="A13" s="14" t="inlineStr">
        <is>
          <t>National baseline distribution per entity type, multiplied by state-level skew profiles (urban_strong / urban_mild / balanced / rural_mild / rural_strong) and renormalized so each state's distribution sums to 100% per entity type.</t>
        </is>
      </c>
    </row>
    <row r="15">
      <c r="A15" s="13" t="inlineStr">
        <is>
          <t>Spend math</t>
        </is>
      </c>
    </row>
    <row r="16" ht="60" customHeight="1">
      <c r="A16" s="14" t="inlineStr">
        <is>
          <t>TAM_per_cell = entity_count × avg_bucket_population × per_capita_spend. Per-capita spend is anchored to Census Annual Survey of State and Local Government Finances 2022. Special district spend uses a flat $7.6M average annual operating spend per district. National total lands within ±10% of Census $2.2T figure; deviation reflects the fact that this TAM model counts each entity's spend independently (reflects software customer count) rather than netting overlapping jurisdictions.</t>
        </is>
      </c>
    </row>
    <row r="18">
      <c r="A18" s="13" t="inlineStr">
        <is>
          <t>Color coding</t>
        </is>
      </c>
    </row>
    <row r="19" ht="60" customHeight="1">
      <c r="A19" s="14" t="inlineStr">
        <is>
          <t>Blue = manually entered or model-generated input cells. Black = in-sheet formulas. Green = cross-sheet links.</t>
        </is>
      </c>
    </row>
    <row r="21">
      <c r="A21" s="13" t="inlineStr">
        <is>
          <t>Limitations</t>
        </is>
      </c>
    </row>
    <row r="22" ht="60" customHeight="1">
      <c r="A22" s="14" t="inlineStr">
        <is>
          <t>Per-bucket population averages are coarse; very large cities pull the 100K+ bucket up materially. Per-capita spend is uniform within each bucket and across states (no cost-of-living factor); a real-world refinement would model per-capita spend by region and entity type-of-government. Special districts vary wildly in budget (transit authorities &gt;&gt;&gt; small water districts). Per-state ranking is therefore directional — states with many small munis (IL, MO, PA) tend to be over-ranked relative to states with few large munis (CA, NY, NJ) in the current bucket-distribution model. National total reconciles within spec; consume per-state TAM as a directional signal, not a precise ranking.</t>
        </is>
      </c>
    </row>
    <row r="24">
      <c r="A24" s="13" t="inlineStr">
        <is>
          <t>Refresh cadence</t>
        </is>
      </c>
    </row>
    <row r="25" ht="60" customHeight="1">
      <c r="A25" s="14" t="inlineStr">
        <is>
          <t>Census of Governments runs every 5 years; next refresh 2027. Annual Survey of State and Local Government Finances runs yearly; refresh per-capita spend annually. Review competitor totals every 6 months.</t>
        </is>
      </c>
    </row>
    <row r="27">
      <c r="A27" s="13" t="inlineStr">
        <is>
          <t>Competitor methodology</t>
        </is>
      </c>
    </row>
    <row r="28" ht="60" customHeight="1">
      <c r="A28" s="14" t="inlineStr">
        <is>
          <t>Each vendor's published customer total is allocated across states using HQ-state weighting, named case-study customers, acquired-company home/service states, state-specific marketing presence, and a population-weighted residual. Per-state sums calibrated to land within ±15% of each vendor's published total.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AL — Alabama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178</v>
      </c>
      <c r="C6" s="17" t="n">
        <v>450</v>
      </c>
      <c r="D6" s="18" t="n">
        <v>2000</v>
      </c>
      <c r="E6" s="19" t="n">
        <v>160200000</v>
      </c>
    </row>
    <row r="7">
      <c r="A7" s="2" t="inlineStr">
        <is>
          <t>1K-5K</t>
        </is>
      </c>
      <c r="B7" s="17" t="n">
        <v>146</v>
      </c>
      <c r="C7" s="17" t="n">
        <v>2700</v>
      </c>
      <c r="D7" s="18" t="n">
        <v>2500</v>
      </c>
      <c r="E7" s="19" t="n">
        <v>985500000</v>
      </c>
    </row>
    <row r="8">
      <c r="A8" s="2" t="inlineStr">
        <is>
          <t>5K-10K</t>
        </is>
      </c>
      <c r="B8" s="17" t="n">
        <v>53</v>
      </c>
      <c r="C8" s="17" t="n">
        <v>7100</v>
      </c>
      <c r="D8" s="18" t="n">
        <v>3000</v>
      </c>
      <c r="E8" s="19" t="n">
        <v>1128900000</v>
      </c>
    </row>
    <row r="9">
      <c r="A9" s="2" t="inlineStr">
        <is>
          <t>10K-20K</t>
        </is>
      </c>
      <c r="B9" s="17" t="n">
        <v>40</v>
      </c>
      <c r="C9" s="17" t="n">
        <v>14000</v>
      </c>
      <c r="D9" s="18" t="n">
        <v>3500</v>
      </c>
      <c r="E9" s="19" t="n">
        <v>1960000000</v>
      </c>
    </row>
    <row r="10">
      <c r="A10" s="2" t="inlineStr">
        <is>
          <t>20K-50K</t>
        </is>
      </c>
      <c r="B10" s="17" t="n">
        <v>29</v>
      </c>
      <c r="C10" s="17" t="n">
        <v>31000</v>
      </c>
      <c r="D10" s="18" t="n">
        <v>4200</v>
      </c>
      <c r="E10" s="19" t="n">
        <v>3775800000</v>
      </c>
    </row>
    <row r="11">
      <c r="A11" s="2" t="inlineStr">
        <is>
          <t>50K-100K</t>
        </is>
      </c>
      <c r="B11" s="17" t="n">
        <v>10</v>
      </c>
      <c r="C11" s="17" t="n">
        <v>70000</v>
      </c>
      <c r="D11" s="18" t="n">
        <v>4800</v>
      </c>
      <c r="E11" s="19" t="n">
        <v>3360000000</v>
      </c>
    </row>
    <row r="12">
      <c r="A12" s="2" t="inlineStr">
        <is>
          <t>100K+</t>
        </is>
      </c>
      <c r="B12" s="17" t="n">
        <v>5</v>
      </c>
      <c r="C12" s="17" t="n">
        <v>220000</v>
      </c>
      <c r="D12" s="18" t="n">
        <v>7000</v>
      </c>
      <c r="E12" s="19" t="n">
        <v>7700000000</v>
      </c>
    </row>
    <row r="13">
      <c r="A13" s="8" t="inlineStr">
        <is>
          <t xml:space="preserve">  Municipalities subtotal</t>
        </is>
      </c>
      <c r="B13" s="20" t="n">
        <v>461</v>
      </c>
      <c r="C13" s="21" t="n"/>
      <c r="D13" s="21" t="n"/>
      <c r="E13" s="22" t="n">
        <v>19070400000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7</v>
      </c>
      <c r="C17" s="17" t="n">
        <v>2700</v>
      </c>
      <c r="D17" s="18" t="n">
        <v>3300</v>
      </c>
      <c r="E17" s="19" t="n">
        <v>62370000</v>
      </c>
    </row>
    <row r="18">
      <c r="A18" s="2" t="inlineStr">
        <is>
          <t>5K-10K</t>
        </is>
      </c>
      <c r="B18" s="17" t="n">
        <v>9</v>
      </c>
      <c r="C18" s="17" t="n">
        <v>7100</v>
      </c>
      <c r="D18" s="18" t="n">
        <v>2900</v>
      </c>
      <c r="E18" s="19" t="n">
        <v>185310000</v>
      </c>
    </row>
    <row r="19">
      <c r="A19" s="2" t="inlineStr">
        <is>
          <t>10K-20K</t>
        </is>
      </c>
      <c r="B19" s="17" t="n">
        <v>13</v>
      </c>
      <c r="C19" s="17" t="n">
        <v>14000</v>
      </c>
      <c r="D19" s="18" t="n">
        <v>2700</v>
      </c>
      <c r="E19" s="19" t="n">
        <v>491400000</v>
      </c>
    </row>
    <row r="20">
      <c r="A20" s="2" t="inlineStr">
        <is>
          <t>20K-50K</t>
        </is>
      </c>
      <c r="B20" s="17" t="n">
        <v>17</v>
      </c>
      <c r="C20" s="17" t="n">
        <v>31000</v>
      </c>
      <c r="D20" s="18" t="n">
        <v>2900</v>
      </c>
      <c r="E20" s="19" t="n">
        <v>1528300000</v>
      </c>
    </row>
    <row r="21">
      <c r="A21" s="2" t="inlineStr">
        <is>
          <t>50K-100K</t>
        </is>
      </c>
      <c r="B21" s="17" t="n">
        <v>10</v>
      </c>
      <c r="C21" s="17" t="n">
        <v>70000</v>
      </c>
      <c r="D21" s="18" t="n">
        <v>3200</v>
      </c>
      <c r="E21" s="19" t="n">
        <v>2240000000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540</v>
      </c>
      <c r="D26" s="18" t="n">
        <v>7600000</v>
      </c>
      <c r="E26" s="19" t="n">
        <v>4104000000</v>
      </c>
    </row>
    <row r="27">
      <c r="A27" s="8" t="inlineStr">
        <is>
          <t xml:space="preserve">  Special Districts subtotal</t>
        </is>
      </c>
      <c r="B27" s="20" t="n">
        <v>540</v>
      </c>
      <c r="C27" s="21" t="n"/>
      <c r="D27" s="21" t="n"/>
      <c r="E27" s="22" t="n">
        <v>4104000000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AK — Alaska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66</v>
      </c>
      <c r="C6" s="17" t="n">
        <v>450</v>
      </c>
      <c r="D6" s="18" t="n">
        <v>2000</v>
      </c>
      <c r="E6" s="19" t="n">
        <v>59400000</v>
      </c>
    </row>
    <row r="7">
      <c r="A7" s="2" t="inlineStr">
        <is>
          <t>1K-5K</t>
        </is>
      </c>
      <c r="B7" s="17" t="n">
        <v>48</v>
      </c>
      <c r="C7" s="17" t="n">
        <v>2700</v>
      </c>
      <c r="D7" s="18" t="n">
        <v>2500</v>
      </c>
      <c r="E7" s="19" t="n">
        <v>324000000</v>
      </c>
    </row>
    <row r="8">
      <c r="A8" s="2" t="inlineStr">
        <is>
          <t>5K-10K</t>
        </is>
      </c>
      <c r="B8" s="17" t="n">
        <v>15</v>
      </c>
      <c r="C8" s="17" t="n">
        <v>7100</v>
      </c>
      <c r="D8" s="18" t="n">
        <v>3000</v>
      </c>
      <c r="E8" s="19" t="n">
        <v>319500000</v>
      </c>
    </row>
    <row r="9">
      <c r="A9" s="2" t="inlineStr">
        <is>
          <t>10K-20K</t>
        </is>
      </c>
      <c r="B9" s="17" t="n">
        <v>10</v>
      </c>
      <c r="C9" s="17" t="n">
        <v>14000</v>
      </c>
      <c r="D9" s="18" t="n">
        <v>3500</v>
      </c>
      <c r="E9" s="19" t="n">
        <v>490000000</v>
      </c>
    </row>
    <row r="10">
      <c r="A10" s="2" t="inlineStr">
        <is>
          <t>20K-50K</t>
        </is>
      </c>
      <c r="B10" s="17" t="n">
        <v>6</v>
      </c>
      <c r="C10" s="17" t="n">
        <v>31000</v>
      </c>
      <c r="D10" s="18" t="n">
        <v>4200</v>
      </c>
      <c r="E10" s="19" t="n">
        <v>781200000</v>
      </c>
    </row>
    <row r="11">
      <c r="A11" s="2" t="inlineStr">
        <is>
          <t>50K-100K</t>
        </is>
      </c>
      <c r="B11" s="17" t="n">
        <v>2</v>
      </c>
      <c r="C11" s="17" t="n">
        <v>70000</v>
      </c>
      <c r="D11" s="18" t="n">
        <v>4800</v>
      </c>
      <c r="E11" s="19" t="n">
        <v>672000000</v>
      </c>
    </row>
    <row r="12">
      <c r="A12" s="2" t="inlineStr">
        <is>
          <t>100K+</t>
        </is>
      </c>
      <c r="B12" s="17" t="n">
        <v>1</v>
      </c>
      <c r="C12" s="17" t="n">
        <v>220000</v>
      </c>
      <c r="D12" s="18" t="n">
        <v>7000</v>
      </c>
      <c r="E12" s="19" t="n">
        <v>1540000000</v>
      </c>
    </row>
    <row r="13">
      <c r="A13" s="8" t="inlineStr">
        <is>
          <t xml:space="preserve">  Municipalities subtotal</t>
        </is>
      </c>
      <c r="B13" s="20" t="n">
        <v>148</v>
      </c>
      <c r="C13" s="21" t="n"/>
      <c r="D13" s="21" t="n"/>
      <c r="E13" s="22" t="n">
        <v>4186100000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2</v>
      </c>
      <c r="C17" s="17" t="n">
        <v>2700</v>
      </c>
      <c r="D17" s="18" t="n">
        <v>3300</v>
      </c>
      <c r="E17" s="19" t="n">
        <v>17820000</v>
      </c>
    </row>
    <row r="18">
      <c r="A18" s="2" t="inlineStr">
        <is>
          <t>5K-10K</t>
        </is>
      </c>
      <c r="B18" s="17" t="n">
        <v>2</v>
      </c>
      <c r="C18" s="17" t="n">
        <v>7100</v>
      </c>
      <c r="D18" s="18" t="n">
        <v>2900</v>
      </c>
      <c r="E18" s="19" t="n">
        <v>41180000</v>
      </c>
    </row>
    <row r="19">
      <c r="A19" s="2" t="inlineStr">
        <is>
          <t>10K-20K</t>
        </is>
      </c>
      <c r="B19" s="17" t="n">
        <v>3</v>
      </c>
      <c r="C19" s="17" t="n">
        <v>14000</v>
      </c>
      <c r="D19" s="18" t="n">
        <v>2700</v>
      </c>
      <c r="E19" s="19" t="n">
        <v>113400000</v>
      </c>
    </row>
    <row r="20">
      <c r="A20" s="2" t="inlineStr">
        <is>
          <t>20K-50K</t>
        </is>
      </c>
      <c r="B20" s="17" t="n">
        <v>4</v>
      </c>
      <c r="C20" s="17" t="n">
        <v>31000</v>
      </c>
      <c r="D20" s="18" t="n">
        <v>2900</v>
      </c>
      <c r="E20" s="19" t="n">
        <v>359600000</v>
      </c>
    </row>
    <row r="21">
      <c r="A21" s="2" t="inlineStr">
        <is>
          <t>50K-100K</t>
        </is>
      </c>
      <c r="B21" s="17" t="n">
        <v>2</v>
      </c>
      <c r="C21" s="17" t="n">
        <v>70000</v>
      </c>
      <c r="D21" s="18" t="n">
        <v>3200</v>
      </c>
      <c r="E21" s="19" t="n">
        <v>448000000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15</v>
      </c>
      <c r="D26" s="18" t="n">
        <v>7600000</v>
      </c>
      <c r="E26" s="19" t="n">
        <v>114000000</v>
      </c>
    </row>
    <row r="27">
      <c r="A27" s="8" t="inlineStr">
        <is>
          <t xml:space="preserve">  Special Districts subtotal</t>
        </is>
      </c>
      <c r="B27" s="20" t="n">
        <v>15</v>
      </c>
      <c r="C27" s="21" t="n"/>
      <c r="D27" s="21" t="n"/>
      <c r="E27" s="22" t="n">
        <v>114000000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AZ — Arizona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27</v>
      </c>
      <c r="C6" s="17" t="n">
        <v>450</v>
      </c>
      <c r="D6" s="18" t="n">
        <v>2000</v>
      </c>
      <c r="E6" s="19" t="n">
        <v>24300000</v>
      </c>
    </row>
    <row r="7">
      <c r="A7" s="2" t="inlineStr">
        <is>
          <t>1K-5K</t>
        </is>
      </c>
      <c r="B7" s="17" t="n">
        <v>26</v>
      </c>
      <c r="C7" s="17" t="n">
        <v>2700</v>
      </c>
      <c r="D7" s="18" t="n">
        <v>2500</v>
      </c>
      <c r="E7" s="19" t="n">
        <v>175500000</v>
      </c>
    </row>
    <row r="8">
      <c r="A8" s="2" t="inlineStr">
        <is>
          <t>5K-10K</t>
        </is>
      </c>
      <c r="B8" s="17" t="n">
        <v>12</v>
      </c>
      <c r="C8" s="17" t="n">
        <v>7100</v>
      </c>
      <c r="D8" s="18" t="n">
        <v>3000</v>
      </c>
      <c r="E8" s="19" t="n">
        <v>255600000</v>
      </c>
    </row>
    <row r="9">
      <c r="A9" s="2" t="inlineStr">
        <is>
          <t>10K-20K</t>
        </is>
      </c>
      <c r="B9" s="17" t="n">
        <v>10</v>
      </c>
      <c r="C9" s="17" t="n">
        <v>14000</v>
      </c>
      <c r="D9" s="18" t="n">
        <v>3500</v>
      </c>
      <c r="E9" s="19" t="n">
        <v>490000000</v>
      </c>
    </row>
    <row r="10">
      <c r="A10" s="2" t="inlineStr">
        <is>
          <t>20K-50K</t>
        </is>
      </c>
      <c r="B10" s="17" t="n">
        <v>9</v>
      </c>
      <c r="C10" s="17" t="n">
        <v>31000</v>
      </c>
      <c r="D10" s="18" t="n">
        <v>4200</v>
      </c>
      <c r="E10" s="19" t="n">
        <v>1171800000</v>
      </c>
    </row>
    <row r="11">
      <c r="A11" s="2" t="inlineStr">
        <is>
          <t>50K-100K</t>
        </is>
      </c>
      <c r="B11" s="17" t="n">
        <v>4</v>
      </c>
      <c r="C11" s="17" t="n">
        <v>70000</v>
      </c>
      <c r="D11" s="18" t="n">
        <v>4800</v>
      </c>
      <c r="E11" s="19" t="n">
        <v>1344000000</v>
      </c>
    </row>
    <row r="12">
      <c r="A12" s="2" t="inlineStr">
        <is>
          <t>100K+</t>
        </is>
      </c>
      <c r="B12" s="17" t="n">
        <v>3</v>
      </c>
      <c r="C12" s="17" t="n">
        <v>220000</v>
      </c>
      <c r="D12" s="18" t="n">
        <v>7000</v>
      </c>
      <c r="E12" s="19" t="n">
        <v>4620000000</v>
      </c>
    </row>
    <row r="13">
      <c r="A13" s="8" t="inlineStr">
        <is>
          <t xml:space="preserve">  Municipalities subtotal</t>
        </is>
      </c>
      <c r="B13" s="20" t="n">
        <v>91</v>
      </c>
      <c r="C13" s="21" t="n"/>
      <c r="D13" s="21" t="n"/>
      <c r="E13" s="22" t="n">
        <v>8081200000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1</v>
      </c>
      <c r="C17" s="17" t="n">
        <v>2700</v>
      </c>
      <c r="D17" s="18" t="n">
        <v>3300</v>
      </c>
      <c r="E17" s="19" t="n">
        <v>8910000</v>
      </c>
    </row>
    <row r="18">
      <c r="A18" s="2" t="inlineStr">
        <is>
          <t>5K-10K</t>
        </is>
      </c>
      <c r="B18" s="17" t="n">
        <v>1</v>
      </c>
      <c r="C18" s="17" t="n">
        <v>7100</v>
      </c>
      <c r="D18" s="18" t="n">
        <v>2900</v>
      </c>
      <c r="E18" s="19" t="n">
        <v>20590000</v>
      </c>
    </row>
    <row r="19">
      <c r="A19" s="2" t="inlineStr">
        <is>
          <t>10K-20K</t>
        </is>
      </c>
      <c r="B19" s="17" t="n">
        <v>2</v>
      </c>
      <c r="C19" s="17" t="n">
        <v>14000</v>
      </c>
      <c r="D19" s="18" t="n">
        <v>2700</v>
      </c>
      <c r="E19" s="19" t="n">
        <v>75600000</v>
      </c>
    </row>
    <row r="20">
      <c r="A20" s="2" t="inlineStr">
        <is>
          <t>20K-50K</t>
        </is>
      </c>
      <c r="B20" s="17" t="n">
        <v>4</v>
      </c>
      <c r="C20" s="17" t="n">
        <v>31000</v>
      </c>
      <c r="D20" s="18" t="n">
        <v>2900</v>
      </c>
      <c r="E20" s="19" t="n">
        <v>359600000</v>
      </c>
    </row>
    <row r="21">
      <c r="A21" s="2" t="inlineStr">
        <is>
          <t>50K-100K</t>
        </is>
      </c>
      <c r="B21" s="17" t="n">
        <v>3</v>
      </c>
      <c r="C21" s="17" t="n">
        <v>70000</v>
      </c>
      <c r="D21" s="18" t="n">
        <v>3200</v>
      </c>
      <c r="E21" s="19" t="n">
        <v>672000000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318</v>
      </c>
      <c r="D26" s="18" t="n">
        <v>7600000</v>
      </c>
      <c r="E26" s="19" t="n">
        <v>2416800000</v>
      </c>
    </row>
    <row r="27">
      <c r="A27" s="8" t="inlineStr">
        <is>
          <t xml:space="preserve">  Special Districts subtotal</t>
        </is>
      </c>
      <c r="B27" s="20" t="n">
        <v>318</v>
      </c>
      <c r="C27" s="21" t="n"/>
      <c r="D27" s="21" t="n"/>
      <c r="E27" s="22" t="n">
        <v>2416800000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AR — Arkansas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194</v>
      </c>
      <c r="C6" s="17" t="n">
        <v>450</v>
      </c>
      <c r="D6" s="18" t="n">
        <v>2000</v>
      </c>
      <c r="E6" s="19" t="n">
        <v>174600000</v>
      </c>
    </row>
    <row r="7">
      <c r="A7" s="2" t="inlineStr">
        <is>
          <t>1K-5K</t>
        </is>
      </c>
      <c r="B7" s="17" t="n">
        <v>159</v>
      </c>
      <c r="C7" s="17" t="n">
        <v>2700</v>
      </c>
      <c r="D7" s="18" t="n">
        <v>2500</v>
      </c>
      <c r="E7" s="19" t="n">
        <v>1073250000</v>
      </c>
    </row>
    <row r="8">
      <c r="A8" s="2" t="inlineStr">
        <is>
          <t>5K-10K</t>
        </is>
      </c>
      <c r="B8" s="17" t="n">
        <v>58</v>
      </c>
      <c r="C8" s="17" t="n">
        <v>7100</v>
      </c>
      <c r="D8" s="18" t="n">
        <v>3000</v>
      </c>
      <c r="E8" s="19" t="n">
        <v>1235400000</v>
      </c>
    </row>
    <row r="9">
      <c r="A9" s="2" t="inlineStr">
        <is>
          <t>10K-20K</t>
        </is>
      </c>
      <c r="B9" s="17" t="n">
        <v>44</v>
      </c>
      <c r="C9" s="17" t="n">
        <v>14000</v>
      </c>
      <c r="D9" s="18" t="n">
        <v>3500</v>
      </c>
      <c r="E9" s="19" t="n">
        <v>2156000000</v>
      </c>
    </row>
    <row r="10">
      <c r="A10" s="2" t="inlineStr">
        <is>
          <t>20K-50K</t>
        </is>
      </c>
      <c r="B10" s="17" t="n">
        <v>31</v>
      </c>
      <c r="C10" s="17" t="n">
        <v>31000</v>
      </c>
      <c r="D10" s="18" t="n">
        <v>4200</v>
      </c>
      <c r="E10" s="19" t="n">
        <v>4036200000</v>
      </c>
    </row>
    <row r="11">
      <c r="A11" s="2" t="inlineStr">
        <is>
          <t>50K-100K</t>
        </is>
      </c>
      <c r="B11" s="17" t="n">
        <v>10</v>
      </c>
      <c r="C11" s="17" t="n">
        <v>70000</v>
      </c>
      <c r="D11" s="18" t="n">
        <v>4800</v>
      </c>
      <c r="E11" s="19" t="n">
        <v>3360000000</v>
      </c>
    </row>
    <row r="12">
      <c r="A12" s="2" t="inlineStr">
        <is>
          <t>100K+</t>
        </is>
      </c>
      <c r="B12" s="17" t="n">
        <v>6</v>
      </c>
      <c r="C12" s="17" t="n">
        <v>220000</v>
      </c>
      <c r="D12" s="18" t="n">
        <v>7000</v>
      </c>
      <c r="E12" s="19" t="n">
        <v>9240000000</v>
      </c>
    </row>
    <row r="13">
      <c r="A13" s="8" t="inlineStr">
        <is>
          <t xml:space="preserve">  Municipalities subtotal</t>
        </is>
      </c>
      <c r="B13" s="20" t="n">
        <v>502</v>
      </c>
      <c r="C13" s="21" t="n"/>
      <c r="D13" s="21" t="n"/>
      <c r="E13" s="22" t="n">
        <v>21275450000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8</v>
      </c>
      <c r="C17" s="17" t="n">
        <v>2700</v>
      </c>
      <c r="D17" s="18" t="n">
        <v>3300</v>
      </c>
      <c r="E17" s="19" t="n">
        <v>71280000</v>
      </c>
    </row>
    <row r="18">
      <c r="A18" s="2" t="inlineStr">
        <is>
          <t>5K-10K</t>
        </is>
      </c>
      <c r="B18" s="17" t="n">
        <v>10</v>
      </c>
      <c r="C18" s="17" t="n">
        <v>7100</v>
      </c>
      <c r="D18" s="18" t="n">
        <v>2900</v>
      </c>
      <c r="E18" s="19" t="n">
        <v>205900000</v>
      </c>
    </row>
    <row r="19">
      <c r="A19" s="2" t="inlineStr">
        <is>
          <t>10K-20K</t>
        </is>
      </c>
      <c r="B19" s="17" t="n">
        <v>14</v>
      </c>
      <c r="C19" s="17" t="n">
        <v>14000</v>
      </c>
      <c r="D19" s="18" t="n">
        <v>2700</v>
      </c>
      <c r="E19" s="19" t="n">
        <v>529200000</v>
      </c>
    </row>
    <row r="20">
      <c r="A20" s="2" t="inlineStr">
        <is>
          <t>20K-50K</t>
        </is>
      </c>
      <c r="B20" s="17" t="n">
        <v>20</v>
      </c>
      <c r="C20" s="17" t="n">
        <v>31000</v>
      </c>
      <c r="D20" s="18" t="n">
        <v>2900</v>
      </c>
      <c r="E20" s="19" t="n">
        <v>1798000000</v>
      </c>
    </row>
    <row r="21">
      <c r="A21" s="2" t="inlineStr">
        <is>
          <t>50K-100K</t>
        </is>
      </c>
      <c r="B21" s="17" t="n">
        <v>11</v>
      </c>
      <c r="C21" s="17" t="n">
        <v>70000</v>
      </c>
      <c r="D21" s="18" t="n">
        <v>3200</v>
      </c>
      <c r="E21" s="19" t="n">
        <v>2464000000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723</v>
      </c>
      <c r="D26" s="18" t="n">
        <v>7600000</v>
      </c>
      <c r="E26" s="19" t="n">
        <v>5494800000</v>
      </c>
    </row>
    <row r="27">
      <c r="A27" s="8" t="inlineStr">
        <is>
          <t xml:space="preserve">  Special Districts subtotal</t>
        </is>
      </c>
      <c r="B27" s="20" t="n">
        <v>723</v>
      </c>
      <c r="C27" s="21" t="n"/>
      <c r="D27" s="21" t="n"/>
      <c r="E27" s="22" t="n">
        <v>5494800000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CA — California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111</v>
      </c>
      <c r="C6" s="17" t="n">
        <v>450</v>
      </c>
      <c r="D6" s="18" t="n">
        <v>2000</v>
      </c>
      <c r="E6" s="19" t="n">
        <v>99900000</v>
      </c>
    </row>
    <row r="7">
      <c r="A7" s="2" t="inlineStr">
        <is>
          <t>1K-5K</t>
        </is>
      </c>
      <c r="B7" s="17" t="n">
        <v>121</v>
      </c>
      <c r="C7" s="17" t="n">
        <v>2700</v>
      </c>
      <c r="D7" s="18" t="n">
        <v>2500</v>
      </c>
      <c r="E7" s="19" t="n">
        <v>816750000</v>
      </c>
    </row>
    <row r="8">
      <c r="A8" s="2" t="inlineStr">
        <is>
          <t>5K-10K</t>
        </is>
      </c>
      <c r="B8" s="17" t="n">
        <v>62</v>
      </c>
      <c r="C8" s="17" t="n">
        <v>7100</v>
      </c>
      <c r="D8" s="18" t="n">
        <v>3000</v>
      </c>
      <c r="E8" s="19" t="n">
        <v>1320600000</v>
      </c>
    </row>
    <row r="9">
      <c r="A9" s="2" t="inlineStr">
        <is>
          <t>10K-20K</t>
        </is>
      </c>
      <c r="B9" s="17" t="n">
        <v>64</v>
      </c>
      <c r="C9" s="17" t="n">
        <v>14000</v>
      </c>
      <c r="D9" s="18" t="n">
        <v>3500</v>
      </c>
      <c r="E9" s="19" t="n">
        <v>3136000000</v>
      </c>
    </row>
    <row r="10">
      <c r="A10" s="2" t="inlineStr">
        <is>
          <t>20K-50K</t>
        </is>
      </c>
      <c r="B10" s="17" t="n">
        <v>67</v>
      </c>
      <c r="C10" s="17" t="n">
        <v>31000</v>
      </c>
      <c r="D10" s="18" t="n">
        <v>4200</v>
      </c>
      <c r="E10" s="19" t="n">
        <v>8723400000</v>
      </c>
    </row>
    <row r="11">
      <c r="A11" s="2" t="inlineStr">
        <is>
          <t>50K-100K</t>
        </is>
      </c>
      <c r="B11" s="17" t="n">
        <v>31</v>
      </c>
      <c r="C11" s="17" t="n">
        <v>70000</v>
      </c>
      <c r="D11" s="18" t="n">
        <v>4800</v>
      </c>
      <c r="E11" s="19" t="n">
        <v>10416000000</v>
      </c>
    </row>
    <row r="12">
      <c r="A12" s="2" t="inlineStr">
        <is>
          <t>100K+</t>
        </is>
      </c>
      <c r="B12" s="17" t="n">
        <v>26</v>
      </c>
      <c r="C12" s="17" t="n">
        <v>220000</v>
      </c>
      <c r="D12" s="18" t="n">
        <v>7000</v>
      </c>
      <c r="E12" s="19" t="n">
        <v>40040000000</v>
      </c>
    </row>
    <row r="13">
      <c r="A13" s="8" t="inlineStr">
        <is>
          <t xml:space="preserve">  Municipalities subtotal</t>
        </is>
      </c>
      <c r="B13" s="20" t="n">
        <v>482</v>
      </c>
      <c r="C13" s="21" t="n"/>
      <c r="D13" s="21" t="n"/>
      <c r="E13" s="22" t="n">
        <v>64552650000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2</v>
      </c>
      <c r="C17" s="17" t="n">
        <v>2700</v>
      </c>
      <c r="D17" s="18" t="n">
        <v>3300</v>
      </c>
      <c r="E17" s="19" t="n">
        <v>17820000</v>
      </c>
    </row>
    <row r="18">
      <c r="A18" s="2" t="inlineStr">
        <is>
          <t>5K-10K</t>
        </is>
      </c>
      <c r="B18" s="17" t="n">
        <v>4</v>
      </c>
      <c r="C18" s="17" t="n">
        <v>7100</v>
      </c>
      <c r="D18" s="18" t="n">
        <v>2900</v>
      </c>
      <c r="E18" s="19" t="n">
        <v>82360000</v>
      </c>
    </row>
    <row r="19">
      <c r="A19" s="2" t="inlineStr">
        <is>
          <t>10K-20K</t>
        </is>
      </c>
      <c r="B19" s="17" t="n">
        <v>8</v>
      </c>
      <c r="C19" s="17" t="n">
        <v>14000</v>
      </c>
      <c r="D19" s="18" t="n">
        <v>2700</v>
      </c>
      <c r="E19" s="19" t="n">
        <v>302400000</v>
      </c>
    </row>
    <row r="20">
      <c r="A20" s="2" t="inlineStr">
        <is>
          <t>20K-50K</t>
        </is>
      </c>
      <c r="B20" s="17" t="n">
        <v>15</v>
      </c>
      <c r="C20" s="17" t="n">
        <v>31000</v>
      </c>
      <c r="D20" s="18" t="n">
        <v>2900</v>
      </c>
      <c r="E20" s="19" t="n">
        <v>1348500000</v>
      </c>
    </row>
    <row r="21">
      <c r="A21" s="2" t="inlineStr">
        <is>
          <t>50K-100K</t>
        </is>
      </c>
      <c r="B21" s="17" t="n">
        <v>12</v>
      </c>
      <c r="C21" s="17" t="n">
        <v>70000</v>
      </c>
      <c r="D21" s="18" t="n">
        <v>3200</v>
      </c>
      <c r="E21" s="19" t="n">
        <v>2688000000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2767</v>
      </c>
      <c r="D26" s="18" t="n">
        <v>7600000</v>
      </c>
      <c r="E26" s="19" t="n">
        <v>21029200000</v>
      </c>
    </row>
    <row r="27">
      <c r="A27" s="8" t="inlineStr">
        <is>
          <t xml:space="preserve">  Special Districts subtotal</t>
        </is>
      </c>
      <c r="B27" s="20" t="n">
        <v>2767</v>
      </c>
      <c r="C27" s="21" t="n"/>
      <c r="D27" s="21" t="n"/>
      <c r="E27" s="22" t="n">
        <v>21029200000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CO — Colorado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81</v>
      </c>
      <c r="C6" s="17" t="n">
        <v>450</v>
      </c>
      <c r="D6" s="18" t="n">
        <v>2000</v>
      </c>
      <c r="E6" s="19" t="n">
        <v>72900000</v>
      </c>
    </row>
    <row r="7">
      <c r="A7" s="2" t="inlineStr">
        <is>
          <t>1K-5K</t>
        </is>
      </c>
      <c r="B7" s="17" t="n">
        <v>78</v>
      </c>
      <c r="C7" s="17" t="n">
        <v>2700</v>
      </c>
      <c r="D7" s="18" t="n">
        <v>2500</v>
      </c>
      <c r="E7" s="19" t="n">
        <v>526500000</v>
      </c>
    </row>
    <row r="8">
      <c r="A8" s="2" t="inlineStr">
        <is>
          <t>5K-10K</t>
        </is>
      </c>
      <c r="B8" s="17" t="n">
        <v>35</v>
      </c>
      <c r="C8" s="17" t="n">
        <v>7100</v>
      </c>
      <c r="D8" s="18" t="n">
        <v>3000</v>
      </c>
      <c r="E8" s="19" t="n">
        <v>745500000</v>
      </c>
    </row>
    <row r="9">
      <c r="A9" s="2" t="inlineStr">
        <is>
          <t>10K-20K</t>
        </is>
      </c>
      <c r="B9" s="17" t="n">
        <v>30</v>
      </c>
      <c r="C9" s="17" t="n">
        <v>14000</v>
      </c>
      <c r="D9" s="18" t="n">
        <v>3500</v>
      </c>
      <c r="E9" s="19" t="n">
        <v>1470000000</v>
      </c>
    </row>
    <row r="10">
      <c r="A10" s="2" t="inlineStr">
        <is>
          <t>20K-50K</t>
        </is>
      </c>
      <c r="B10" s="17" t="n">
        <v>28</v>
      </c>
      <c r="C10" s="17" t="n">
        <v>31000</v>
      </c>
      <c r="D10" s="18" t="n">
        <v>4200</v>
      </c>
      <c r="E10" s="19" t="n">
        <v>3645600000</v>
      </c>
    </row>
    <row r="11">
      <c r="A11" s="2" t="inlineStr">
        <is>
          <t>50K-100K</t>
        </is>
      </c>
      <c r="B11" s="17" t="n">
        <v>11</v>
      </c>
      <c r="C11" s="17" t="n">
        <v>70000</v>
      </c>
      <c r="D11" s="18" t="n">
        <v>4800</v>
      </c>
      <c r="E11" s="19" t="n">
        <v>3696000000</v>
      </c>
    </row>
    <row r="12">
      <c r="A12" s="2" t="inlineStr">
        <is>
          <t>100K+</t>
        </is>
      </c>
      <c r="B12" s="17" t="n">
        <v>8</v>
      </c>
      <c r="C12" s="17" t="n">
        <v>220000</v>
      </c>
      <c r="D12" s="18" t="n">
        <v>7000</v>
      </c>
      <c r="E12" s="19" t="n">
        <v>12320000000</v>
      </c>
    </row>
    <row r="13">
      <c r="A13" s="8" t="inlineStr">
        <is>
          <t xml:space="preserve">  Municipalities subtotal</t>
        </is>
      </c>
      <c r="B13" s="20" t="n">
        <v>271</v>
      </c>
      <c r="C13" s="21" t="n"/>
      <c r="D13" s="21" t="n"/>
      <c r="E13" s="22" t="n">
        <v>22476500000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4</v>
      </c>
      <c r="C17" s="17" t="n">
        <v>2700</v>
      </c>
      <c r="D17" s="18" t="n">
        <v>3300</v>
      </c>
      <c r="E17" s="19" t="n">
        <v>35640000</v>
      </c>
    </row>
    <row r="18">
      <c r="A18" s="2" t="inlineStr">
        <is>
          <t>5K-10K</t>
        </is>
      </c>
      <c r="B18" s="17" t="n">
        <v>6</v>
      </c>
      <c r="C18" s="17" t="n">
        <v>7100</v>
      </c>
      <c r="D18" s="18" t="n">
        <v>2900</v>
      </c>
      <c r="E18" s="19" t="n">
        <v>123540000</v>
      </c>
    </row>
    <row r="19">
      <c r="A19" s="2" t="inlineStr">
        <is>
          <t>10K-20K</t>
        </is>
      </c>
      <c r="B19" s="17" t="n">
        <v>9</v>
      </c>
      <c r="C19" s="17" t="n">
        <v>14000</v>
      </c>
      <c r="D19" s="18" t="n">
        <v>2700</v>
      </c>
      <c r="E19" s="19" t="n">
        <v>340200000</v>
      </c>
    </row>
    <row r="20">
      <c r="A20" s="2" t="inlineStr">
        <is>
          <t>20K-50K</t>
        </is>
      </c>
      <c r="B20" s="17" t="n">
        <v>16</v>
      </c>
      <c r="C20" s="17" t="n">
        <v>31000</v>
      </c>
      <c r="D20" s="18" t="n">
        <v>2900</v>
      </c>
      <c r="E20" s="19" t="n">
        <v>1438400000</v>
      </c>
    </row>
    <row r="21">
      <c r="A21" s="2" t="inlineStr">
        <is>
          <t>50K-100K</t>
        </is>
      </c>
      <c r="B21" s="17" t="n">
        <v>12</v>
      </c>
      <c r="C21" s="17" t="n">
        <v>70000</v>
      </c>
      <c r="D21" s="18" t="n">
        <v>3200</v>
      </c>
      <c r="E21" s="19" t="n">
        <v>2688000000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2540</v>
      </c>
      <c r="D26" s="18" t="n">
        <v>7600000</v>
      </c>
      <c r="E26" s="19" t="n">
        <v>19304000000</v>
      </c>
    </row>
    <row r="27">
      <c r="A27" s="8" t="inlineStr">
        <is>
          <t xml:space="preserve">  Special Districts subtotal</t>
        </is>
      </c>
      <c r="B27" s="20" t="n">
        <v>2540</v>
      </c>
      <c r="C27" s="21" t="n"/>
      <c r="D27" s="21" t="n"/>
      <c r="E27" s="22" t="n">
        <v>19304000000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CT — Connecticut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9</v>
      </c>
      <c r="C6" s="17" t="n">
        <v>450</v>
      </c>
      <c r="D6" s="18" t="n">
        <v>2000</v>
      </c>
      <c r="E6" s="19" t="n">
        <v>8100000</v>
      </c>
    </row>
    <row r="7">
      <c r="A7" s="2" t="inlineStr">
        <is>
          <t>1K-5K</t>
        </is>
      </c>
      <c r="B7" s="17" t="n">
        <v>9</v>
      </c>
      <c r="C7" s="17" t="n">
        <v>2700</v>
      </c>
      <c r="D7" s="18" t="n">
        <v>2500</v>
      </c>
      <c r="E7" s="19" t="n">
        <v>60750000</v>
      </c>
    </row>
    <row r="8">
      <c r="A8" s="2" t="inlineStr">
        <is>
          <t>5K-10K</t>
        </is>
      </c>
      <c r="B8" s="17" t="n">
        <v>4</v>
      </c>
      <c r="C8" s="17" t="n">
        <v>7100</v>
      </c>
      <c r="D8" s="18" t="n">
        <v>3000</v>
      </c>
      <c r="E8" s="19" t="n">
        <v>85200000</v>
      </c>
    </row>
    <row r="9">
      <c r="A9" s="2" t="inlineStr">
        <is>
          <t>10K-20K</t>
        </is>
      </c>
      <c r="B9" s="17" t="n">
        <v>3</v>
      </c>
      <c r="C9" s="17" t="n">
        <v>14000</v>
      </c>
      <c r="D9" s="18" t="n">
        <v>3500</v>
      </c>
      <c r="E9" s="19" t="n">
        <v>147000000</v>
      </c>
    </row>
    <row r="10">
      <c r="A10" s="2" t="inlineStr">
        <is>
          <t>20K-50K</t>
        </is>
      </c>
      <c r="B10" s="17" t="n">
        <v>3</v>
      </c>
      <c r="C10" s="17" t="n">
        <v>31000</v>
      </c>
      <c r="D10" s="18" t="n">
        <v>4200</v>
      </c>
      <c r="E10" s="19" t="n">
        <v>390600000</v>
      </c>
    </row>
    <row r="11">
      <c r="A11" s="2" t="inlineStr">
        <is>
          <t>50K-100K</t>
        </is>
      </c>
      <c r="B11" s="17" t="n">
        <v>1</v>
      </c>
      <c r="C11" s="17" t="n">
        <v>70000</v>
      </c>
      <c r="D11" s="18" t="n">
        <v>4800</v>
      </c>
      <c r="E11" s="19" t="n">
        <v>336000000</v>
      </c>
    </row>
    <row r="12">
      <c r="A12" s="2" t="inlineStr">
        <is>
          <t>100K+</t>
        </is>
      </c>
      <c r="B12" s="17" t="n">
        <v>1</v>
      </c>
      <c r="C12" s="17" t="n">
        <v>220000</v>
      </c>
      <c r="D12" s="18" t="n">
        <v>7000</v>
      </c>
      <c r="E12" s="19" t="n">
        <v>1540000000</v>
      </c>
    </row>
    <row r="13">
      <c r="A13" s="8" t="inlineStr">
        <is>
          <t xml:space="preserve">  Municipalities subtotal</t>
        </is>
      </c>
      <c r="B13" s="20" t="n">
        <v>30</v>
      </c>
      <c r="C13" s="21" t="n"/>
      <c r="D13" s="21" t="n"/>
      <c r="E13" s="22" t="n">
        <v>2567650000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0</v>
      </c>
      <c r="C17" s="17" t="n">
        <v>2700</v>
      </c>
      <c r="D17" s="18" t="n">
        <v>3300</v>
      </c>
      <c r="E17" s="19" t="n">
        <v>0</v>
      </c>
    </row>
    <row r="18">
      <c r="A18" s="2" t="inlineStr">
        <is>
          <t>5K-10K</t>
        </is>
      </c>
      <c r="B18" s="17" t="n">
        <v>0</v>
      </c>
      <c r="C18" s="17" t="n">
        <v>7100</v>
      </c>
      <c r="D18" s="18" t="n">
        <v>2900</v>
      </c>
      <c r="E18" s="19" t="n">
        <v>0</v>
      </c>
    </row>
    <row r="19">
      <c r="A19" s="2" t="inlineStr">
        <is>
          <t>10K-20K</t>
        </is>
      </c>
      <c r="B19" s="17" t="n">
        <v>0</v>
      </c>
      <c r="C19" s="17" t="n">
        <v>14000</v>
      </c>
      <c r="D19" s="18" t="n">
        <v>2700</v>
      </c>
      <c r="E19" s="19" t="n">
        <v>0</v>
      </c>
    </row>
    <row r="20">
      <c r="A20" s="2" t="inlineStr">
        <is>
          <t>20K-50K</t>
        </is>
      </c>
      <c r="B20" s="17" t="n">
        <v>0</v>
      </c>
      <c r="C20" s="17" t="n">
        <v>31000</v>
      </c>
      <c r="D20" s="18" t="n">
        <v>2900</v>
      </c>
      <c r="E20" s="19" t="n">
        <v>0</v>
      </c>
    </row>
    <row r="21">
      <c r="A21" s="2" t="inlineStr">
        <is>
          <t>50K-100K</t>
        </is>
      </c>
      <c r="B21" s="17" t="n">
        <v>0</v>
      </c>
      <c r="C21" s="17" t="n">
        <v>70000</v>
      </c>
      <c r="D21" s="18" t="n">
        <v>3200</v>
      </c>
      <c r="E21" s="19" t="n">
        <v>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68</v>
      </c>
      <c r="C26" s="17" t="n">
        <v>450</v>
      </c>
      <c r="D26" s="18" t="n">
        <v>600</v>
      </c>
      <c r="E26" s="19" t="n">
        <v>18360000</v>
      </c>
    </row>
    <row r="27">
      <c r="A27" s="2" t="inlineStr">
        <is>
          <t>1K-5K</t>
        </is>
      </c>
      <c r="B27" s="17" t="n">
        <v>49</v>
      </c>
      <c r="C27" s="17" t="n">
        <v>2700</v>
      </c>
      <c r="D27" s="18" t="n">
        <v>800</v>
      </c>
      <c r="E27" s="19" t="n">
        <v>105840000</v>
      </c>
    </row>
    <row r="28">
      <c r="A28" s="2" t="inlineStr">
        <is>
          <t>5K-10K</t>
        </is>
      </c>
      <c r="B28" s="17" t="n">
        <v>15</v>
      </c>
      <c r="C28" s="17" t="n">
        <v>7100</v>
      </c>
      <c r="D28" s="18" t="n">
        <v>1100</v>
      </c>
      <c r="E28" s="19" t="n">
        <v>117150000</v>
      </c>
    </row>
    <row r="29">
      <c r="A29" s="2" t="inlineStr">
        <is>
          <t>10K-20K</t>
        </is>
      </c>
      <c r="B29" s="17" t="n">
        <v>9</v>
      </c>
      <c r="C29" s="17" t="n">
        <v>14000</v>
      </c>
      <c r="D29" s="18" t="n">
        <v>1400</v>
      </c>
      <c r="E29" s="19" t="n">
        <v>176400000</v>
      </c>
    </row>
    <row r="30">
      <c r="A30" s="2" t="inlineStr">
        <is>
          <t>20K-50K</t>
        </is>
      </c>
      <c r="B30" s="17" t="n">
        <v>6</v>
      </c>
      <c r="C30" s="17" t="n">
        <v>31000</v>
      </c>
      <c r="D30" s="18" t="n">
        <v>1600</v>
      </c>
      <c r="E30" s="19" t="n">
        <v>297600000</v>
      </c>
    </row>
    <row r="31">
      <c r="A31" s="2" t="inlineStr">
        <is>
          <t>50K-100K</t>
        </is>
      </c>
      <c r="B31" s="17" t="n">
        <v>2</v>
      </c>
      <c r="C31" s="17" t="n">
        <v>70000</v>
      </c>
      <c r="D31" s="18" t="n">
        <v>1700</v>
      </c>
      <c r="E31" s="19" t="n">
        <v>238000000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149</v>
      </c>
      <c r="C33" s="21" t="n"/>
      <c r="D33" s="21" t="n"/>
      <c r="E33" s="22" t="n">
        <v>953350000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460</v>
      </c>
      <c r="D36" s="18" t="n">
        <v>7600000</v>
      </c>
      <c r="E36" s="19" t="n">
        <v>3496000000</v>
      </c>
    </row>
    <row r="37">
      <c r="A37" s="8" t="inlineStr">
        <is>
          <t xml:space="preserve">  Special Districts subtotal</t>
        </is>
      </c>
      <c r="B37" s="20" t="n">
        <v>460</v>
      </c>
      <c r="C37" s="21" t="n"/>
      <c r="D37" s="21" t="n"/>
      <c r="E37" s="22" t="n">
        <v>3496000000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DE — Delaware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17</v>
      </c>
      <c r="C6" s="17" t="n">
        <v>450</v>
      </c>
      <c r="D6" s="18" t="n">
        <v>2000</v>
      </c>
      <c r="E6" s="19" t="n">
        <v>15300000</v>
      </c>
    </row>
    <row r="7">
      <c r="A7" s="2" t="inlineStr">
        <is>
          <t>1K-5K</t>
        </is>
      </c>
      <c r="B7" s="17" t="n">
        <v>17</v>
      </c>
      <c r="C7" s="17" t="n">
        <v>2700</v>
      </c>
      <c r="D7" s="18" t="n">
        <v>2500</v>
      </c>
      <c r="E7" s="19" t="n">
        <v>114750000</v>
      </c>
    </row>
    <row r="8">
      <c r="A8" s="2" t="inlineStr">
        <is>
          <t>5K-10K</t>
        </is>
      </c>
      <c r="B8" s="17" t="n">
        <v>7</v>
      </c>
      <c r="C8" s="17" t="n">
        <v>7100</v>
      </c>
      <c r="D8" s="18" t="n">
        <v>3000</v>
      </c>
      <c r="E8" s="19" t="n">
        <v>149100000</v>
      </c>
    </row>
    <row r="9">
      <c r="A9" s="2" t="inlineStr">
        <is>
          <t>10K-20K</t>
        </is>
      </c>
      <c r="B9" s="17" t="n">
        <v>6</v>
      </c>
      <c r="C9" s="17" t="n">
        <v>14000</v>
      </c>
      <c r="D9" s="18" t="n">
        <v>3500</v>
      </c>
      <c r="E9" s="19" t="n">
        <v>294000000</v>
      </c>
    </row>
    <row r="10">
      <c r="A10" s="2" t="inlineStr">
        <is>
          <t>20K-50K</t>
        </is>
      </c>
      <c r="B10" s="17" t="n">
        <v>6</v>
      </c>
      <c r="C10" s="17" t="n">
        <v>31000</v>
      </c>
      <c r="D10" s="18" t="n">
        <v>4200</v>
      </c>
      <c r="E10" s="19" t="n">
        <v>781200000</v>
      </c>
    </row>
    <row r="11">
      <c r="A11" s="2" t="inlineStr">
        <is>
          <t>50K-100K</t>
        </is>
      </c>
      <c r="B11" s="17" t="n">
        <v>2</v>
      </c>
      <c r="C11" s="17" t="n">
        <v>70000</v>
      </c>
      <c r="D11" s="18" t="n">
        <v>4800</v>
      </c>
      <c r="E11" s="19" t="n">
        <v>672000000</v>
      </c>
    </row>
    <row r="12">
      <c r="A12" s="2" t="inlineStr">
        <is>
          <t>100K+</t>
        </is>
      </c>
      <c r="B12" s="17" t="n">
        <v>2</v>
      </c>
      <c r="C12" s="17" t="n">
        <v>220000</v>
      </c>
      <c r="D12" s="18" t="n">
        <v>7000</v>
      </c>
      <c r="E12" s="19" t="n">
        <v>3080000000</v>
      </c>
    </row>
    <row r="13">
      <c r="A13" s="8" t="inlineStr">
        <is>
          <t xml:space="preserve">  Municipalities subtotal</t>
        </is>
      </c>
      <c r="B13" s="20" t="n">
        <v>57</v>
      </c>
      <c r="C13" s="21" t="n"/>
      <c r="D13" s="21" t="n"/>
      <c r="E13" s="22" t="n">
        <v>5106350000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0</v>
      </c>
      <c r="C17" s="17" t="n">
        <v>2700</v>
      </c>
      <c r="D17" s="18" t="n">
        <v>3300</v>
      </c>
      <c r="E17" s="19" t="n">
        <v>0</v>
      </c>
    </row>
    <row r="18">
      <c r="A18" s="2" t="inlineStr">
        <is>
          <t>5K-10K</t>
        </is>
      </c>
      <c r="B18" s="17" t="n">
        <v>0</v>
      </c>
      <c r="C18" s="17" t="n">
        <v>7100</v>
      </c>
      <c r="D18" s="18" t="n">
        <v>2900</v>
      </c>
      <c r="E18" s="19" t="n">
        <v>0</v>
      </c>
    </row>
    <row r="19">
      <c r="A19" s="2" t="inlineStr">
        <is>
          <t>10K-20K</t>
        </is>
      </c>
      <c r="B19" s="17" t="n">
        <v>0</v>
      </c>
      <c r="C19" s="17" t="n">
        <v>14000</v>
      </c>
      <c r="D19" s="18" t="n">
        <v>2700</v>
      </c>
      <c r="E19" s="19" t="n">
        <v>0</v>
      </c>
    </row>
    <row r="20">
      <c r="A20" s="2" t="inlineStr">
        <is>
          <t>20K-50K</t>
        </is>
      </c>
      <c r="B20" s="17" t="n">
        <v>1</v>
      </c>
      <c r="C20" s="17" t="n">
        <v>31000</v>
      </c>
      <c r="D20" s="18" t="n">
        <v>2900</v>
      </c>
      <c r="E20" s="19" t="n">
        <v>89900000</v>
      </c>
    </row>
    <row r="21">
      <c r="A21" s="2" t="inlineStr">
        <is>
          <t>50K-100K</t>
        </is>
      </c>
      <c r="B21" s="17" t="n">
        <v>1</v>
      </c>
      <c r="C21" s="17" t="n">
        <v>70000</v>
      </c>
      <c r="D21" s="18" t="n">
        <v>3200</v>
      </c>
      <c r="E21" s="19" t="n">
        <v>224000000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256</v>
      </c>
      <c r="D26" s="18" t="n">
        <v>7600000</v>
      </c>
      <c r="E26" s="19" t="n">
        <v>1945600000</v>
      </c>
    </row>
    <row r="27">
      <c r="A27" s="8" t="inlineStr">
        <is>
          <t xml:space="preserve">  Special Districts subtotal</t>
        </is>
      </c>
      <c r="B27" s="20" t="n">
        <v>256</v>
      </c>
      <c r="C27" s="21" t="n"/>
      <c r="D27" s="21" t="n"/>
      <c r="E27" s="22" t="n">
        <v>1945600000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FL — Florida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95</v>
      </c>
      <c r="C6" s="17" t="n">
        <v>450</v>
      </c>
      <c r="D6" s="18" t="n">
        <v>2000</v>
      </c>
      <c r="E6" s="19" t="n">
        <v>85500000</v>
      </c>
    </row>
    <row r="7">
      <c r="A7" s="2" t="inlineStr">
        <is>
          <t>1K-5K</t>
        </is>
      </c>
      <c r="B7" s="17" t="n">
        <v>104</v>
      </c>
      <c r="C7" s="17" t="n">
        <v>2700</v>
      </c>
      <c r="D7" s="18" t="n">
        <v>2500</v>
      </c>
      <c r="E7" s="19" t="n">
        <v>702000000</v>
      </c>
    </row>
    <row r="8">
      <c r="A8" s="2" t="inlineStr">
        <is>
          <t>5K-10K</t>
        </is>
      </c>
      <c r="B8" s="17" t="n">
        <v>53</v>
      </c>
      <c r="C8" s="17" t="n">
        <v>7100</v>
      </c>
      <c r="D8" s="18" t="n">
        <v>3000</v>
      </c>
      <c r="E8" s="19" t="n">
        <v>1128900000</v>
      </c>
    </row>
    <row r="9">
      <c r="A9" s="2" t="inlineStr">
        <is>
          <t>10K-20K</t>
        </is>
      </c>
      <c r="B9" s="17" t="n">
        <v>54</v>
      </c>
      <c r="C9" s="17" t="n">
        <v>14000</v>
      </c>
      <c r="D9" s="18" t="n">
        <v>3500</v>
      </c>
      <c r="E9" s="19" t="n">
        <v>2646000000</v>
      </c>
    </row>
    <row r="10">
      <c r="A10" s="2" t="inlineStr">
        <is>
          <t>20K-50K</t>
        </is>
      </c>
      <c r="B10" s="17" t="n">
        <v>57</v>
      </c>
      <c r="C10" s="17" t="n">
        <v>31000</v>
      </c>
      <c r="D10" s="18" t="n">
        <v>4200</v>
      </c>
      <c r="E10" s="19" t="n">
        <v>7421400000</v>
      </c>
    </row>
    <row r="11">
      <c r="A11" s="2" t="inlineStr">
        <is>
          <t>50K-100K</t>
        </is>
      </c>
      <c r="B11" s="17" t="n">
        <v>27</v>
      </c>
      <c r="C11" s="17" t="n">
        <v>70000</v>
      </c>
      <c r="D11" s="18" t="n">
        <v>4800</v>
      </c>
      <c r="E11" s="19" t="n">
        <v>9072000000</v>
      </c>
    </row>
    <row r="12">
      <c r="A12" s="2" t="inlineStr">
        <is>
          <t>100K+</t>
        </is>
      </c>
      <c r="B12" s="17" t="n">
        <v>22</v>
      </c>
      <c r="C12" s="17" t="n">
        <v>220000</v>
      </c>
      <c r="D12" s="18" t="n">
        <v>7000</v>
      </c>
      <c r="E12" s="19" t="n">
        <v>33880000000</v>
      </c>
    </row>
    <row r="13">
      <c r="A13" s="8" t="inlineStr">
        <is>
          <t xml:space="preserve">  Municipalities subtotal</t>
        </is>
      </c>
      <c r="B13" s="20" t="n">
        <v>412</v>
      </c>
      <c r="C13" s="21" t="n"/>
      <c r="D13" s="21" t="n"/>
      <c r="E13" s="22" t="n">
        <v>54935800000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3</v>
      </c>
      <c r="C17" s="17" t="n">
        <v>2700</v>
      </c>
      <c r="D17" s="18" t="n">
        <v>3300</v>
      </c>
      <c r="E17" s="19" t="n">
        <v>26730000</v>
      </c>
    </row>
    <row r="18">
      <c r="A18" s="2" t="inlineStr">
        <is>
          <t>5K-10K</t>
        </is>
      </c>
      <c r="B18" s="17" t="n">
        <v>4</v>
      </c>
      <c r="C18" s="17" t="n">
        <v>7100</v>
      </c>
      <c r="D18" s="18" t="n">
        <v>2900</v>
      </c>
      <c r="E18" s="19" t="n">
        <v>82360000</v>
      </c>
    </row>
    <row r="19">
      <c r="A19" s="2" t="inlineStr">
        <is>
          <t>10K-20K</t>
        </is>
      </c>
      <c r="B19" s="17" t="n">
        <v>8</v>
      </c>
      <c r="C19" s="17" t="n">
        <v>14000</v>
      </c>
      <c r="D19" s="18" t="n">
        <v>2700</v>
      </c>
      <c r="E19" s="19" t="n">
        <v>302400000</v>
      </c>
    </row>
    <row r="20">
      <c r="A20" s="2" t="inlineStr">
        <is>
          <t>20K-50K</t>
        </is>
      </c>
      <c r="B20" s="17" t="n">
        <v>17</v>
      </c>
      <c r="C20" s="17" t="n">
        <v>31000</v>
      </c>
      <c r="D20" s="18" t="n">
        <v>2900</v>
      </c>
      <c r="E20" s="19" t="n">
        <v>1528300000</v>
      </c>
    </row>
    <row r="21">
      <c r="A21" s="2" t="inlineStr">
        <is>
          <t>50K-100K</t>
        </is>
      </c>
      <c r="B21" s="17" t="n">
        <v>14</v>
      </c>
      <c r="C21" s="17" t="n">
        <v>70000</v>
      </c>
      <c r="D21" s="18" t="n">
        <v>3200</v>
      </c>
      <c r="E21" s="19" t="n">
        <v>3136000000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1134</v>
      </c>
      <c r="D26" s="18" t="n">
        <v>7600000</v>
      </c>
      <c r="E26" s="19" t="n">
        <v>8618400000</v>
      </c>
    </row>
    <row r="27">
      <c r="A27" s="8" t="inlineStr">
        <is>
          <t xml:space="preserve">  Special Districts subtotal</t>
        </is>
      </c>
      <c r="B27" s="20" t="n">
        <v>1134</v>
      </c>
      <c r="C27" s="21" t="n"/>
      <c r="D27" s="21" t="n"/>
      <c r="E27" s="22" t="n">
        <v>8618400000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GA — Georgia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188</v>
      </c>
      <c r="C6" s="17" t="n">
        <v>450</v>
      </c>
      <c r="D6" s="18" t="n">
        <v>2000</v>
      </c>
      <c r="E6" s="19" t="n">
        <v>169200000</v>
      </c>
    </row>
    <row r="7">
      <c r="A7" s="2" t="inlineStr">
        <is>
          <t>1K-5K</t>
        </is>
      </c>
      <c r="B7" s="17" t="n">
        <v>161</v>
      </c>
      <c r="C7" s="17" t="n">
        <v>2700</v>
      </c>
      <c r="D7" s="18" t="n">
        <v>2500</v>
      </c>
      <c r="E7" s="19" t="n">
        <v>1086750000</v>
      </c>
    </row>
    <row r="8">
      <c r="A8" s="2" t="inlineStr">
        <is>
          <t>5K-10K</t>
        </is>
      </c>
      <c r="B8" s="17" t="n">
        <v>64</v>
      </c>
      <c r="C8" s="17" t="n">
        <v>7100</v>
      </c>
      <c r="D8" s="18" t="n">
        <v>3000</v>
      </c>
      <c r="E8" s="19" t="n">
        <v>1363200000</v>
      </c>
    </row>
    <row r="9">
      <c r="A9" s="2" t="inlineStr">
        <is>
          <t>10K-20K</t>
        </is>
      </c>
      <c r="B9" s="17" t="n">
        <v>54</v>
      </c>
      <c r="C9" s="17" t="n">
        <v>14000</v>
      </c>
      <c r="D9" s="18" t="n">
        <v>3500</v>
      </c>
      <c r="E9" s="19" t="n">
        <v>2646000000</v>
      </c>
    </row>
    <row r="10">
      <c r="A10" s="2" t="inlineStr">
        <is>
          <t>20K-50K</t>
        </is>
      </c>
      <c r="B10" s="17" t="n">
        <v>43</v>
      </c>
      <c r="C10" s="17" t="n">
        <v>31000</v>
      </c>
      <c r="D10" s="18" t="n">
        <v>4200</v>
      </c>
      <c r="E10" s="19" t="n">
        <v>5598600000</v>
      </c>
    </row>
    <row r="11">
      <c r="A11" s="2" t="inlineStr">
        <is>
          <t>50K-100K</t>
        </is>
      </c>
      <c r="B11" s="17" t="n">
        <v>16</v>
      </c>
      <c r="C11" s="17" t="n">
        <v>70000</v>
      </c>
      <c r="D11" s="18" t="n">
        <v>4800</v>
      </c>
      <c r="E11" s="19" t="n">
        <v>5376000000</v>
      </c>
    </row>
    <row r="12">
      <c r="A12" s="2" t="inlineStr">
        <is>
          <t>100K+</t>
        </is>
      </c>
      <c r="B12" s="17" t="n">
        <v>11</v>
      </c>
      <c r="C12" s="17" t="n">
        <v>220000</v>
      </c>
      <c r="D12" s="18" t="n">
        <v>7000</v>
      </c>
      <c r="E12" s="19" t="n">
        <v>16940000000</v>
      </c>
    </row>
    <row r="13">
      <c r="A13" s="8" t="inlineStr">
        <is>
          <t xml:space="preserve">  Municipalities subtotal</t>
        </is>
      </c>
      <c r="B13" s="20" t="n">
        <v>537</v>
      </c>
      <c r="C13" s="21" t="n"/>
      <c r="D13" s="21" t="n"/>
      <c r="E13" s="22" t="n">
        <v>33179750000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12</v>
      </c>
      <c r="C17" s="17" t="n">
        <v>2700</v>
      </c>
      <c r="D17" s="18" t="n">
        <v>3300</v>
      </c>
      <c r="E17" s="19" t="n">
        <v>106920000</v>
      </c>
    </row>
    <row r="18">
      <c r="A18" s="2" t="inlineStr">
        <is>
          <t>5K-10K</t>
        </is>
      </c>
      <c r="B18" s="17" t="n">
        <v>17</v>
      </c>
      <c r="C18" s="17" t="n">
        <v>7100</v>
      </c>
      <c r="D18" s="18" t="n">
        <v>2900</v>
      </c>
      <c r="E18" s="19" t="n">
        <v>350030000</v>
      </c>
    </row>
    <row r="19">
      <c r="A19" s="2" t="inlineStr">
        <is>
          <t>10K-20K</t>
        </is>
      </c>
      <c r="B19" s="17" t="n">
        <v>26</v>
      </c>
      <c r="C19" s="17" t="n">
        <v>14000</v>
      </c>
      <c r="D19" s="18" t="n">
        <v>2700</v>
      </c>
      <c r="E19" s="19" t="n">
        <v>982800000</v>
      </c>
    </row>
    <row r="20">
      <c r="A20" s="2" t="inlineStr">
        <is>
          <t>20K-50K</t>
        </is>
      </c>
      <c r="B20" s="17" t="n">
        <v>40</v>
      </c>
      <c r="C20" s="17" t="n">
        <v>31000</v>
      </c>
      <c r="D20" s="18" t="n">
        <v>2900</v>
      </c>
      <c r="E20" s="19" t="n">
        <v>3596000000</v>
      </c>
    </row>
    <row r="21">
      <c r="A21" s="2" t="inlineStr">
        <is>
          <t>50K-100K</t>
        </is>
      </c>
      <c r="B21" s="17" t="n">
        <v>26</v>
      </c>
      <c r="C21" s="17" t="n">
        <v>70000</v>
      </c>
      <c r="D21" s="18" t="n">
        <v>3200</v>
      </c>
      <c r="E21" s="19" t="n">
        <v>5824000000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720</v>
      </c>
      <c r="D26" s="18" t="n">
        <v>7600000</v>
      </c>
      <c r="E26" s="19" t="n">
        <v>5472000000</v>
      </c>
    </row>
    <row r="27">
      <c r="A27" s="8" t="inlineStr">
        <is>
          <t xml:space="preserve">  Special Districts subtotal</t>
        </is>
      </c>
      <c r="B27" s="20" t="n">
        <v>720</v>
      </c>
      <c r="C27" s="21" t="n"/>
      <c r="D27" s="21" t="n"/>
      <c r="E27" s="22" t="n">
        <v>5472000000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HI — Hawaii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</v>
      </c>
      <c r="C6" s="17" t="n">
        <v>450</v>
      </c>
      <c r="D6" s="18" t="n">
        <v>2000</v>
      </c>
      <c r="E6" s="19" t="n">
        <v>900000</v>
      </c>
    </row>
    <row r="7">
      <c r="A7" s="2" t="inlineStr">
        <is>
          <t>1K-5K</t>
        </is>
      </c>
      <c r="B7" s="17" t="n">
        <v>0</v>
      </c>
      <c r="C7" s="17" t="n">
        <v>2700</v>
      </c>
      <c r="D7" s="18" t="n">
        <v>2500</v>
      </c>
      <c r="E7" s="19" t="n">
        <v>0</v>
      </c>
    </row>
    <row r="8">
      <c r="A8" s="2" t="inlineStr">
        <is>
          <t>5K-10K</t>
        </is>
      </c>
      <c r="B8" s="17" t="n">
        <v>0</v>
      </c>
      <c r="C8" s="17" t="n">
        <v>7100</v>
      </c>
      <c r="D8" s="18" t="n">
        <v>3000</v>
      </c>
      <c r="E8" s="19" t="n">
        <v>0</v>
      </c>
    </row>
    <row r="9">
      <c r="A9" s="2" t="inlineStr">
        <is>
          <t>10K-20K</t>
        </is>
      </c>
      <c r="B9" s="17" t="n">
        <v>0</v>
      </c>
      <c r="C9" s="17" t="n">
        <v>14000</v>
      </c>
      <c r="D9" s="18" t="n">
        <v>3500</v>
      </c>
      <c r="E9" s="19" t="n">
        <v>0</v>
      </c>
    </row>
    <row r="10">
      <c r="A10" s="2" t="inlineStr">
        <is>
          <t>20K-50K</t>
        </is>
      </c>
      <c r="B10" s="17" t="n">
        <v>0</v>
      </c>
      <c r="C10" s="17" t="n">
        <v>31000</v>
      </c>
      <c r="D10" s="18" t="n">
        <v>4200</v>
      </c>
      <c r="E10" s="19" t="n">
        <v>0</v>
      </c>
    </row>
    <row r="11">
      <c r="A11" s="2" t="inlineStr">
        <is>
          <t>50K-100K</t>
        </is>
      </c>
      <c r="B11" s="17" t="n">
        <v>0</v>
      </c>
      <c r="C11" s="17" t="n">
        <v>70000</v>
      </c>
      <c r="D11" s="18" t="n">
        <v>4800</v>
      </c>
      <c r="E11" s="19" t="n">
        <v>0</v>
      </c>
    </row>
    <row r="12">
      <c r="A12" s="2" t="inlineStr">
        <is>
          <t>100K+</t>
        </is>
      </c>
      <c r="B12" s="17" t="n">
        <v>0</v>
      </c>
      <c r="C12" s="17" t="n">
        <v>220000</v>
      </c>
      <c r="D12" s="18" t="n">
        <v>7000</v>
      </c>
      <c r="E12" s="19" t="n">
        <v>0</v>
      </c>
    </row>
    <row r="13">
      <c r="A13" s="8" t="inlineStr">
        <is>
          <t xml:space="preserve">  Municipalities subtotal</t>
        </is>
      </c>
      <c r="B13" s="20" t="n">
        <v>1</v>
      </c>
      <c r="C13" s="21" t="n"/>
      <c r="D13" s="21" t="n"/>
      <c r="E13" s="22" t="n">
        <v>900000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0</v>
      </c>
      <c r="C17" s="17" t="n">
        <v>2700</v>
      </c>
      <c r="D17" s="18" t="n">
        <v>3300</v>
      </c>
      <c r="E17" s="19" t="n">
        <v>0</v>
      </c>
    </row>
    <row r="18">
      <c r="A18" s="2" t="inlineStr">
        <is>
          <t>5K-10K</t>
        </is>
      </c>
      <c r="B18" s="17" t="n">
        <v>0</v>
      </c>
      <c r="C18" s="17" t="n">
        <v>7100</v>
      </c>
      <c r="D18" s="18" t="n">
        <v>2900</v>
      </c>
      <c r="E18" s="19" t="n">
        <v>0</v>
      </c>
    </row>
    <row r="19">
      <c r="A19" s="2" t="inlineStr">
        <is>
          <t>10K-20K</t>
        </is>
      </c>
      <c r="B19" s="17" t="n">
        <v>0</v>
      </c>
      <c r="C19" s="17" t="n">
        <v>14000</v>
      </c>
      <c r="D19" s="18" t="n">
        <v>2700</v>
      </c>
      <c r="E19" s="19" t="n">
        <v>0</v>
      </c>
    </row>
    <row r="20">
      <c r="A20" s="2" t="inlineStr">
        <is>
          <t>20K-50K</t>
        </is>
      </c>
      <c r="B20" s="17" t="n">
        <v>1</v>
      </c>
      <c r="C20" s="17" t="n">
        <v>31000</v>
      </c>
      <c r="D20" s="18" t="n">
        <v>2900</v>
      </c>
      <c r="E20" s="19" t="n">
        <v>89900000</v>
      </c>
    </row>
    <row r="21">
      <c r="A21" s="2" t="inlineStr">
        <is>
          <t>50K-100K</t>
        </is>
      </c>
      <c r="B21" s="17" t="n">
        <v>1</v>
      </c>
      <c r="C21" s="17" t="n">
        <v>70000</v>
      </c>
      <c r="D21" s="18" t="n">
        <v>3200</v>
      </c>
      <c r="E21" s="19" t="n">
        <v>224000000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17</v>
      </c>
      <c r="D26" s="18" t="n">
        <v>7600000</v>
      </c>
      <c r="E26" s="19" t="n">
        <v>129200000</v>
      </c>
    </row>
    <row r="27">
      <c r="A27" s="8" t="inlineStr">
        <is>
          <t xml:space="preserve">  Special Districts subtotal</t>
        </is>
      </c>
      <c r="B27" s="20" t="n">
        <v>17</v>
      </c>
      <c r="C27" s="21" t="n"/>
      <c r="D27" s="21" t="n"/>
      <c r="E27" s="22" t="n">
        <v>129200000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ID — Idaho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77</v>
      </c>
      <c r="C6" s="17" t="n">
        <v>450</v>
      </c>
      <c r="D6" s="18" t="n">
        <v>2000</v>
      </c>
      <c r="E6" s="19" t="n">
        <v>69300000</v>
      </c>
    </row>
    <row r="7">
      <c r="A7" s="2" t="inlineStr">
        <is>
          <t>1K-5K</t>
        </is>
      </c>
      <c r="B7" s="17" t="n">
        <v>63</v>
      </c>
      <c r="C7" s="17" t="n">
        <v>2700</v>
      </c>
      <c r="D7" s="18" t="n">
        <v>2500</v>
      </c>
      <c r="E7" s="19" t="n">
        <v>425250000</v>
      </c>
    </row>
    <row r="8">
      <c r="A8" s="2" t="inlineStr">
        <is>
          <t>5K-10K</t>
        </is>
      </c>
      <c r="B8" s="17" t="n">
        <v>23</v>
      </c>
      <c r="C8" s="17" t="n">
        <v>7100</v>
      </c>
      <c r="D8" s="18" t="n">
        <v>3000</v>
      </c>
      <c r="E8" s="19" t="n">
        <v>489900000</v>
      </c>
    </row>
    <row r="9">
      <c r="A9" s="2" t="inlineStr">
        <is>
          <t>10K-20K</t>
        </is>
      </c>
      <c r="B9" s="17" t="n">
        <v>18</v>
      </c>
      <c r="C9" s="17" t="n">
        <v>14000</v>
      </c>
      <c r="D9" s="18" t="n">
        <v>3500</v>
      </c>
      <c r="E9" s="19" t="n">
        <v>882000000</v>
      </c>
    </row>
    <row r="10">
      <c r="A10" s="2" t="inlineStr">
        <is>
          <t>20K-50K</t>
        </is>
      </c>
      <c r="B10" s="17" t="n">
        <v>13</v>
      </c>
      <c r="C10" s="17" t="n">
        <v>31000</v>
      </c>
      <c r="D10" s="18" t="n">
        <v>4200</v>
      </c>
      <c r="E10" s="19" t="n">
        <v>1692600000</v>
      </c>
    </row>
    <row r="11">
      <c r="A11" s="2" t="inlineStr">
        <is>
          <t>50K-100K</t>
        </is>
      </c>
      <c r="B11" s="17" t="n">
        <v>4</v>
      </c>
      <c r="C11" s="17" t="n">
        <v>70000</v>
      </c>
      <c r="D11" s="18" t="n">
        <v>4800</v>
      </c>
      <c r="E11" s="19" t="n">
        <v>1344000000</v>
      </c>
    </row>
    <row r="12">
      <c r="A12" s="2" t="inlineStr">
        <is>
          <t>100K+</t>
        </is>
      </c>
      <c r="B12" s="17" t="n">
        <v>2</v>
      </c>
      <c r="C12" s="17" t="n">
        <v>220000</v>
      </c>
      <c r="D12" s="18" t="n">
        <v>7000</v>
      </c>
      <c r="E12" s="19" t="n">
        <v>3080000000</v>
      </c>
    </row>
    <row r="13">
      <c r="A13" s="8" t="inlineStr">
        <is>
          <t xml:space="preserve">  Municipalities subtotal</t>
        </is>
      </c>
      <c r="B13" s="20" t="n">
        <v>200</v>
      </c>
      <c r="C13" s="21" t="n"/>
      <c r="D13" s="21" t="n"/>
      <c r="E13" s="22" t="n">
        <v>7983050000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5</v>
      </c>
      <c r="C17" s="17" t="n">
        <v>2700</v>
      </c>
      <c r="D17" s="18" t="n">
        <v>3300</v>
      </c>
      <c r="E17" s="19" t="n">
        <v>44550000</v>
      </c>
    </row>
    <row r="18">
      <c r="A18" s="2" t="inlineStr">
        <is>
          <t>5K-10K</t>
        </is>
      </c>
      <c r="B18" s="17" t="n">
        <v>6</v>
      </c>
      <c r="C18" s="17" t="n">
        <v>7100</v>
      </c>
      <c r="D18" s="18" t="n">
        <v>2900</v>
      </c>
      <c r="E18" s="19" t="n">
        <v>123540000</v>
      </c>
    </row>
    <row r="19">
      <c r="A19" s="2" t="inlineStr">
        <is>
          <t>10K-20K</t>
        </is>
      </c>
      <c r="B19" s="17" t="n">
        <v>8</v>
      </c>
      <c r="C19" s="17" t="n">
        <v>14000</v>
      </c>
      <c r="D19" s="18" t="n">
        <v>2700</v>
      </c>
      <c r="E19" s="19" t="n">
        <v>302400000</v>
      </c>
    </row>
    <row r="20">
      <c r="A20" s="2" t="inlineStr">
        <is>
          <t>20K-50K</t>
        </is>
      </c>
      <c r="B20" s="17" t="n">
        <v>11</v>
      </c>
      <c r="C20" s="17" t="n">
        <v>31000</v>
      </c>
      <c r="D20" s="18" t="n">
        <v>2900</v>
      </c>
      <c r="E20" s="19" t="n">
        <v>988900000</v>
      </c>
    </row>
    <row r="21">
      <c r="A21" s="2" t="inlineStr">
        <is>
          <t>50K-100K</t>
        </is>
      </c>
      <c r="B21" s="17" t="n">
        <v>7</v>
      </c>
      <c r="C21" s="17" t="n">
        <v>70000</v>
      </c>
      <c r="D21" s="18" t="n">
        <v>3200</v>
      </c>
      <c r="E21" s="19" t="n">
        <v>1568000000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1058</v>
      </c>
      <c r="D26" s="18" t="n">
        <v>7600000</v>
      </c>
      <c r="E26" s="19" t="n">
        <v>8040800000</v>
      </c>
    </row>
    <row r="27">
      <c r="A27" s="8" t="inlineStr">
        <is>
          <t xml:space="preserve">  Special Districts subtotal</t>
        </is>
      </c>
      <c r="B27" s="20" t="n">
        <v>1058</v>
      </c>
      <c r="C27" s="21" t="n"/>
      <c r="D27" s="21" t="n"/>
      <c r="E27" s="22" t="n">
        <v>8040800000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IL — Illinois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299</v>
      </c>
      <c r="C6" s="17" t="n">
        <v>450</v>
      </c>
      <c r="D6" s="18" t="n">
        <v>2000</v>
      </c>
      <c r="E6" s="19" t="n">
        <v>269100000</v>
      </c>
    </row>
    <row r="7">
      <c r="A7" s="2" t="inlineStr">
        <is>
          <t>1K-5K</t>
        </is>
      </c>
      <c r="B7" s="17" t="n">
        <v>327</v>
      </c>
      <c r="C7" s="17" t="n">
        <v>2700</v>
      </c>
      <c r="D7" s="18" t="n">
        <v>2500</v>
      </c>
      <c r="E7" s="19" t="n">
        <v>2207250000</v>
      </c>
    </row>
    <row r="8">
      <c r="A8" s="2" t="inlineStr">
        <is>
          <t>5K-10K</t>
        </is>
      </c>
      <c r="B8" s="17" t="n">
        <v>168</v>
      </c>
      <c r="C8" s="17" t="n">
        <v>7100</v>
      </c>
      <c r="D8" s="18" t="n">
        <v>3000</v>
      </c>
      <c r="E8" s="19" t="n">
        <v>3578400000</v>
      </c>
    </row>
    <row r="9">
      <c r="A9" s="2" t="inlineStr">
        <is>
          <t>10K-20K</t>
        </is>
      </c>
      <c r="B9" s="17" t="n">
        <v>171</v>
      </c>
      <c r="C9" s="17" t="n">
        <v>14000</v>
      </c>
      <c r="D9" s="18" t="n">
        <v>3500</v>
      </c>
      <c r="E9" s="19" t="n">
        <v>8379000000</v>
      </c>
    </row>
    <row r="10">
      <c r="A10" s="2" t="inlineStr">
        <is>
          <t>20K-50K</t>
        </is>
      </c>
      <c r="B10" s="17" t="n">
        <v>180</v>
      </c>
      <c r="C10" s="17" t="n">
        <v>31000</v>
      </c>
      <c r="D10" s="18" t="n">
        <v>4200</v>
      </c>
      <c r="E10" s="19" t="n">
        <v>23436000000</v>
      </c>
    </row>
    <row r="11">
      <c r="A11" s="2" t="inlineStr">
        <is>
          <t>50K-100K</t>
        </is>
      </c>
      <c r="B11" s="17" t="n">
        <v>84</v>
      </c>
      <c r="C11" s="17" t="n">
        <v>70000</v>
      </c>
      <c r="D11" s="18" t="n">
        <v>4800</v>
      </c>
      <c r="E11" s="19" t="n">
        <v>28224000000</v>
      </c>
    </row>
    <row r="12">
      <c r="A12" s="2" t="inlineStr">
        <is>
          <t>100K+</t>
        </is>
      </c>
      <c r="B12" s="17" t="n">
        <v>69</v>
      </c>
      <c r="C12" s="17" t="n">
        <v>220000</v>
      </c>
      <c r="D12" s="18" t="n">
        <v>7000</v>
      </c>
      <c r="E12" s="19" t="n">
        <v>106260000000</v>
      </c>
    </row>
    <row r="13">
      <c r="A13" s="8" t="inlineStr">
        <is>
          <t xml:space="preserve">  Municipalities subtotal</t>
        </is>
      </c>
      <c r="B13" s="20" t="n">
        <v>1298</v>
      </c>
      <c r="C13" s="21" t="n"/>
      <c r="D13" s="21" t="n"/>
      <c r="E13" s="22" t="n">
        <v>172353750000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4</v>
      </c>
      <c r="C17" s="17" t="n">
        <v>2700</v>
      </c>
      <c r="D17" s="18" t="n">
        <v>3300</v>
      </c>
      <c r="E17" s="19" t="n">
        <v>35640000</v>
      </c>
    </row>
    <row r="18">
      <c r="A18" s="2" t="inlineStr">
        <is>
          <t>5K-10K</t>
        </is>
      </c>
      <c r="B18" s="17" t="n">
        <v>7</v>
      </c>
      <c r="C18" s="17" t="n">
        <v>7100</v>
      </c>
      <c r="D18" s="18" t="n">
        <v>2900</v>
      </c>
      <c r="E18" s="19" t="n">
        <v>144130000</v>
      </c>
    </row>
    <row r="19">
      <c r="A19" s="2" t="inlineStr">
        <is>
          <t>10K-20K</t>
        </is>
      </c>
      <c r="B19" s="17" t="n">
        <v>13</v>
      </c>
      <c r="C19" s="17" t="n">
        <v>14000</v>
      </c>
      <c r="D19" s="18" t="n">
        <v>2700</v>
      </c>
      <c r="E19" s="19" t="n">
        <v>491400000</v>
      </c>
    </row>
    <row r="20">
      <c r="A20" s="2" t="inlineStr">
        <is>
          <t>20K-50K</t>
        </is>
      </c>
      <c r="B20" s="17" t="n">
        <v>26</v>
      </c>
      <c r="C20" s="17" t="n">
        <v>31000</v>
      </c>
      <c r="D20" s="18" t="n">
        <v>2900</v>
      </c>
      <c r="E20" s="19" t="n">
        <v>2337400000</v>
      </c>
    </row>
    <row r="21">
      <c r="A21" s="2" t="inlineStr">
        <is>
          <t>50K-100K</t>
        </is>
      </c>
      <c r="B21" s="17" t="n">
        <v>21</v>
      </c>
      <c r="C21" s="17" t="n">
        <v>70000</v>
      </c>
      <c r="D21" s="18" t="n">
        <v>3200</v>
      </c>
      <c r="E21" s="19" t="n">
        <v>4704000000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565</v>
      </c>
      <c r="C26" s="17" t="n">
        <v>450</v>
      </c>
      <c r="D26" s="18" t="n">
        <v>600</v>
      </c>
      <c r="E26" s="19" t="n">
        <v>152550000</v>
      </c>
    </row>
    <row r="27">
      <c r="A27" s="2" t="inlineStr">
        <is>
          <t>1K-5K</t>
        </is>
      </c>
      <c r="B27" s="17" t="n">
        <v>460</v>
      </c>
      <c r="C27" s="17" t="n">
        <v>2700</v>
      </c>
      <c r="D27" s="18" t="n">
        <v>800</v>
      </c>
      <c r="E27" s="19" t="n">
        <v>993600000</v>
      </c>
    </row>
    <row r="28">
      <c r="A28" s="2" t="inlineStr">
        <is>
          <t>5K-10K</t>
        </is>
      </c>
      <c r="B28" s="17" t="n">
        <v>167</v>
      </c>
      <c r="C28" s="17" t="n">
        <v>7100</v>
      </c>
      <c r="D28" s="18" t="n">
        <v>1100</v>
      </c>
      <c r="E28" s="19" t="n">
        <v>1304270000</v>
      </c>
    </row>
    <row r="29">
      <c r="A29" s="2" t="inlineStr">
        <is>
          <t>10K-20K</t>
        </is>
      </c>
      <c r="B29" s="17" t="n">
        <v>113</v>
      </c>
      <c r="C29" s="17" t="n">
        <v>14000</v>
      </c>
      <c r="D29" s="18" t="n">
        <v>1400</v>
      </c>
      <c r="E29" s="19" t="n">
        <v>2214800000</v>
      </c>
    </row>
    <row r="30">
      <c r="A30" s="2" t="inlineStr">
        <is>
          <t>20K-50K</t>
        </is>
      </c>
      <c r="B30" s="17" t="n">
        <v>89</v>
      </c>
      <c r="C30" s="17" t="n">
        <v>31000</v>
      </c>
      <c r="D30" s="18" t="n">
        <v>1600</v>
      </c>
      <c r="E30" s="19" t="n">
        <v>4414400000</v>
      </c>
    </row>
    <row r="31">
      <c r="A31" s="2" t="inlineStr">
        <is>
          <t>50K-100K</t>
        </is>
      </c>
      <c r="B31" s="17" t="n">
        <v>37</v>
      </c>
      <c r="C31" s="17" t="n">
        <v>70000</v>
      </c>
      <c r="D31" s="18" t="n">
        <v>1700</v>
      </c>
      <c r="E31" s="19" t="n">
        <v>4403000000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1431</v>
      </c>
      <c r="C33" s="21" t="n"/>
      <c r="D33" s="21" t="n"/>
      <c r="E33" s="22" t="n">
        <v>13482620000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3050</v>
      </c>
      <c r="D36" s="18" t="n">
        <v>7600000</v>
      </c>
      <c r="E36" s="19" t="n">
        <v>23180000000</v>
      </c>
    </row>
    <row r="37">
      <c r="A37" s="8" t="inlineStr">
        <is>
          <t xml:space="preserve">  Special Districts subtotal</t>
        </is>
      </c>
      <c r="B37" s="20" t="n">
        <v>3050</v>
      </c>
      <c r="C37" s="21" t="n"/>
      <c r="D37" s="21" t="n"/>
      <c r="E37" s="22" t="n">
        <v>23180000000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IN — Indiana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199</v>
      </c>
      <c r="C6" s="17" t="n">
        <v>450</v>
      </c>
      <c r="D6" s="18" t="n">
        <v>2000</v>
      </c>
      <c r="E6" s="19" t="n">
        <v>179100000</v>
      </c>
    </row>
    <row r="7">
      <c r="A7" s="2" t="inlineStr">
        <is>
          <t>1K-5K</t>
        </is>
      </c>
      <c r="B7" s="17" t="n">
        <v>170</v>
      </c>
      <c r="C7" s="17" t="n">
        <v>2700</v>
      </c>
      <c r="D7" s="18" t="n">
        <v>2500</v>
      </c>
      <c r="E7" s="19" t="n">
        <v>1147500000</v>
      </c>
    </row>
    <row r="8">
      <c r="A8" s="2" t="inlineStr">
        <is>
          <t>5K-10K</t>
        </is>
      </c>
      <c r="B8" s="17" t="n">
        <v>68</v>
      </c>
      <c r="C8" s="17" t="n">
        <v>7100</v>
      </c>
      <c r="D8" s="18" t="n">
        <v>3000</v>
      </c>
      <c r="E8" s="19" t="n">
        <v>1448400000</v>
      </c>
    </row>
    <row r="9">
      <c r="A9" s="2" t="inlineStr">
        <is>
          <t>10K-20K</t>
        </is>
      </c>
      <c r="B9" s="17" t="n">
        <v>57</v>
      </c>
      <c r="C9" s="17" t="n">
        <v>14000</v>
      </c>
      <c r="D9" s="18" t="n">
        <v>3500</v>
      </c>
      <c r="E9" s="19" t="n">
        <v>2793000000</v>
      </c>
    </row>
    <row r="10">
      <c r="A10" s="2" t="inlineStr">
        <is>
          <t>20K-50K</t>
        </is>
      </c>
      <c r="B10" s="17" t="n">
        <v>46</v>
      </c>
      <c r="C10" s="17" t="n">
        <v>31000</v>
      </c>
      <c r="D10" s="18" t="n">
        <v>4200</v>
      </c>
      <c r="E10" s="19" t="n">
        <v>5989200000</v>
      </c>
    </row>
    <row r="11">
      <c r="A11" s="2" t="inlineStr">
        <is>
          <t>50K-100K</t>
        </is>
      </c>
      <c r="B11" s="17" t="n">
        <v>17</v>
      </c>
      <c r="C11" s="17" t="n">
        <v>70000</v>
      </c>
      <c r="D11" s="18" t="n">
        <v>4800</v>
      </c>
      <c r="E11" s="19" t="n">
        <v>5712000000</v>
      </c>
    </row>
    <row r="12">
      <c r="A12" s="2" t="inlineStr">
        <is>
          <t>100K+</t>
        </is>
      </c>
      <c r="B12" s="17" t="n">
        <v>11</v>
      </c>
      <c r="C12" s="17" t="n">
        <v>220000</v>
      </c>
      <c r="D12" s="18" t="n">
        <v>7000</v>
      </c>
      <c r="E12" s="19" t="n">
        <v>16940000000</v>
      </c>
    </row>
    <row r="13">
      <c r="A13" s="8" t="inlineStr">
        <is>
          <t xml:space="preserve">  Municipalities subtotal</t>
        </is>
      </c>
      <c r="B13" s="20" t="n">
        <v>568</v>
      </c>
      <c r="C13" s="21" t="n"/>
      <c r="D13" s="21" t="n"/>
      <c r="E13" s="22" t="n">
        <v>34209200000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7</v>
      </c>
      <c r="C17" s="17" t="n">
        <v>2700</v>
      </c>
      <c r="D17" s="18" t="n">
        <v>3300</v>
      </c>
      <c r="E17" s="19" t="n">
        <v>62370000</v>
      </c>
    </row>
    <row r="18">
      <c r="A18" s="2" t="inlineStr">
        <is>
          <t>5K-10K</t>
        </is>
      </c>
      <c r="B18" s="17" t="n">
        <v>10</v>
      </c>
      <c r="C18" s="17" t="n">
        <v>7100</v>
      </c>
      <c r="D18" s="18" t="n">
        <v>2900</v>
      </c>
      <c r="E18" s="19" t="n">
        <v>205900000</v>
      </c>
    </row>
    <row r="19">
      <c r="A19" s="2" t="inlineStr">
        <is>
          <t>10K-20K</t>
        </is>
      </c>
      <c r="B19" s="17" t="n">
        <v>15</v>
      </c>
      <c r="C19" s="17" t="n">
        <v>14000</v>
      </c>
      <c r="D19" s="18" t="n">
        <v>2700</v>
      </c>
      <c r="E19" s="19" t="n">
        <v>567000000</v>
      </c>
    </row>
    <row r="20">
      <c r="A20" s="2" t="inlineStr">
        <is>
          <t>20K-50K</t>
        </is>
      </c>
      <c r="B20" s="17" t="n">
        <v>24</v>
      </c>
      <c r="C20" s="17" t="n">
        <v>31000</v>
      </c>
      <c r="D20" s="18" t="n">
        <v>2900</v>
      </c>
      <c r="E20" s="19" t="n">
        <v>2157600000</v>
      </c>
    </row>
    <row r="21">
      <c r="A21" s="2" t="inlineStr">
        <is>
          <t>50K-100K</t>
        </is>
      </c>
      <c r="B21" s="17" t="n">
        <v>16</v>
      </c>
      <c r="C21" s="17" t="n">
        <v>70000</v>
      </c>
      <c r="D21" s="18" t="n">
        <v>3200</v>
      </c>
      <c r="E21" s="19" t="n">
        <v>3584000000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503</v>
      </c>
      <c r="C26" s="17" t="n">
        <v>450</v>
      </c>
      <c r="D26" s="18" t="n">
        <v>600</v>
      </c>
      <c r="E26" s="19" t="n">
        <v>135810000</v>
      </c>
    </row>
    <row r="27">
      <c r="A27" s="2" t="inlineStr">
        <is>
          <t>1K-5K</t>
        </is>
      </c>
      <c r="B27" s="17" t="n">
        <v>322</v>
      </c>
      <c r="C27" s="17" t="n">
        <v>2700</v>
      </c>
      <c r="D27" s="18" t="n">
        <v>800</v>
      </c>
      <c r="E27" s="19" t="n">
        <v>695520000</v>
      </c>
    </row>
    <row r="28">
      <c r="A28" s="2" t="inlineStr">
        <is>
          <t>5K-10K</t>
        </is>
      </c>
      <c r="B28" s="17" t="n">
        <v>91</v>
      </c>
      <c r="C28" s="17" t="n">
        <v>7100</v>
      </c>
      <c r="D28" s="18" t="n">
        <v>1100</v>
      </c>
      <c r="E28" s="19" t="n">
        <v>710710000</v>
      </c>
    </row>
    <row r="29">
      <c r="A29" s="2" t="inlineStr">
        <is>
          <t>10K-20K</t>
        </is>
      </c>
      <c r="B29" s="17" t="n">
        <v>50</v>
      </c>
      <c r="C29" s="17" t="n">
        <v>14000</v>
      </c>
      <c r="D29" s="18" t="n">
        <v>1400</v>
      </c>
      <c r="E29" s="19" t="n">
        <v>980000000</v>
      </c>
    </row>
    <row r="30">
      <c r="A30" s="2" t="inlineStr">
        <is>
          <t>20K-50K</t>
        </is>
      </c>
      <c r="B30" s="17" t="n">
        <v>30</v>
      </c>
      <c r="C30" s="17" t="n">
        <v>31000</v>
      </c>
      <c r="D30" s="18" t="n">
        <v>1600</v>
      </c>
      <c r="E30" s="19" t="n">
        <v>1488000000</v>
      </c>
    </row>
    <row r="31">
      <c r="A31" s="2" t="inlineStr">
        <is>
          <t>50K-100K</t>
        </is>
      </c>
      <c r="B31" s="17" t="n">
        <v>10</v>
      </c>
      <c r="C31" s="17" t="n">
        <v>70000</v>
      </c>
      <c r="D31" s="18" t="n">
        <v>1700</v>
      </c>
      <c r="E31" s="19" t="n">
        <v>1190000000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1006</v>
      </c>
      <c r="C33" s="21" t="n"/>
      <c r="D33" s="21" t="n"/>
      <c r="E33" s="22" t="n">
        <v>5200040000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1262</v>
      </c>
      <c r="D36" s="18" t="n">
        <v>7600000</v>
      </c>
      <c r="E36" s="19" t="n">
        <v>9591200000</v>
      </c>
    </row>
    <row r="37">
      <c r="A37" s="8" t="inlineStr">
        <is>
          <t xml:space="preserve">  Special Districts subtotal</t>
        </is>
      </c>
      <c r="B37" s="20" t="n">
        <v>1262</v>
      </c>
      <c r="C37" s="21" t="n"/>
      <c r="D37" s="21" t="n"/>
      <c r="E37" s="22" t="n">
        <v>9591200000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IA — Iowa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420</v>
      </c>
      <c r="C6" s="17" t="n">
        <v>450</v>
      </c>
      <c r="D6" s="18" t="n">
        <v>2000</v>
      </c>
      <c r="E6" s="19" t="n">
        <v>378000000</v>
      </c>
    </row>
    <row r="7">
      <c r="A7" s="2" t="inlineStr">
        <is>
          <t>1K-5K</t>
        </is>
      </c>
      <c r="B7" s="17" t="n">
        <v>302</v>
      </c>
      <c r="C7" s="17" t="n">
        <v>2700</v>
      </c>
      <c r="D7" s="18" t="n">
        <v>2500</v>
      </c>
      <c r="E7" s="19" t="n">
        <v>2038500000</v>
      </c>
    </row>
    <row r="8">
      <c r="A8" s="2" t="inlineStr">
        <is>
          <t>5K-10K</t>
        </is>
      </c>
      <c r="B8" s="17" t="n">
        <v>98</v>
      </c>
      <c r="C8" s="17" t="n">
        <v>7100</v>
      </c>
      <c r="D8" s="18" t="n">
        <v>3000</v>
      </c>
      <c r="E8" s="19" t="n">
        <v>2087400000</v>
      </c>
    </row>
    <row r="9">
      <c r="A9" s="2" t="inlineStr">
        <is>
          <t>10K-20K</t>
        </is>
      </c>
      <c r="B9" s="17" t="n">
        <v>66</v>
      </c>
      <c r="C9" s="17" t="n">
        <v>14000</v>
      </c>
      <c r="D9" s="18" t="n">
        <v>3500</v>
      </c>
      <c r="E9" s="19" t="n">
        <v>3234000000</v>
      </c>
    </row>
    <row r="10">
      <c r="A10" s="2" t="inlineStr">
        <is>
          <t>20K-50K</t>
        </is>
      </c>
      <c r="B10" s="17" t="n">
        <v>40</v>
      </c>
      <c r="C10" s="17" t="n">
        <v>31000</v>
      </c>
      <c r="D10" s="18" t="n">
        <v>4200</v>
      </c>
      <c r="E10" s="19" t="n">
        <v>5208000000</v>
      </c>
    </row>
    <row r="11">
      <c r="A11" s="2" t="inlineStr">
        <is>
          <t>50K-100K</t>
        </is>
      </c>
      <c r="B11" s="17" t="n">
        <v>10</v>
      </c>
      <c r="C11" s="17" t="n">
        <v>70000</v>
      </c>
      <c r="D11" s="18" t="n">
        <v>4800</v>
      </c>
      <c r="E11" s="19" t="n">
        <v>3360000000</v>
      </c>
    </row>
    <row r="12">
      <c r="A12" s="2" t="inlineStr">
        <is>
          <t>100K+</t>
        </is>
      </c>
      <c r="B12" s="17" t="n">
        <v>5</v>
      </c>
      <c r="C12" s="17" t="n">
        <v>220000</v>
      </c>
      <c r="D12" s="18" t="n">
        <v>7000</v>
      </c>
      <c r="E12" s="19" t="n">
        <v>7700000000</v>
      </c>
    </row>
    <row r="13">
      <c r="A13" s="8" t="inlineStr">
        <is>
          <t xml:space="preserve">  Municipalities subtotal</t>
        </is>
      </c>
      <c r="B13" s="20" t="n">
        <v>941</v>
      </c>
      <c r="C13" s="21" t="n"/>
      <c r="D13" s="21" t="n"/>
      <c r="E13" s="22" t="n">
        <v>24005900000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2</v>
      </c>
      <c r="C16" s="17" t="n">
        <v>450</v>
      </c>
      <c r="D16" s="18" t="n">
        <v>3500</v>
      </c>
      <c r="E16" s="19" t="n">
        <v>3150000</v>
      </c>
    </row>
    <row r="17">
      <c r="A17" s="2" t="inlineStr">
        <is>
          <t>1K-5K</t>
        </is>
      </c>
      <c r="B17" s="17" t="n">
        <v>15</v>
      </c>
      <c r="C17" s="17" t="n">
        <v>2700</v>
      </c>
      <c r="D17" s="18" t="n">
        <v>3300</v>
      </c>
      <c r="E17" s="19" t="n">
        <v>133650000</v>
      </c>
    </row>
    <row r="18">
      <c r="A18" s="2" t="inlineStr">
        <is>
          <t>5K-10K</t>
        </is>
      </c>
      <c r="B18" s="17" t="n">
        <v>17</v>
      </c>
      <c r="C18" s="17" t="n">
        <v>7100</v>
      </c>
      <c r="D18" s="18" t="n">
        <v>2900</v>
      </c>
      <c r="E18" s="19" t="n">
        <v>350030000</v>
      </c>
    </row>
    <row r="19">
      <c r="A19" s="2" t="inlineStr">
        <is>
          <t>10K-20K</t>
        </is>
      </c>
      <c r="B19" s="17" t="n">
        <v>21</v>
      </c>
      <c r="C19" s="17" t="n">
        <v>14000</v>
      </c>
      <c r="D19" s="18" t="n">
        <v>2700</v>
      </c>
      <c r="E19" s="19" t="n">
        <v>793800000</v>
      </c>
    </row>
    <row r="20">
      <c r="A20" s="2" t="inlineStr">
        <is>
          <t>20K-50K</t>
        </is>
      </c>
      <c r="B20" s="17" t="n">
        <v>24</v>
      </c>
      <c r="C20" s="17" t="n">
        <v>31000</v>
      </c>
      <c r="D20" s="18" t="n">
        <v>2900</v>
      </c>
      <c r="E20" s="19" t="n">
        <v>2157600000</v>
      </c>
    </row>
    <row r="21">
      <c r="A21" s="2" t="inlineStr">
        <is>
          <t>50K-100K</t>
        </is>
      </c>
      <c r="B21" s="17" t="n">
        <v>11</v>
      </c>
      <c r="C21" s="17" t="n">
        <v>70000</v>
      </c>
      <c r="D21" s="18" t="n">
        <v>3200</v>
      </c>
      <c r="E21" s="19" t="n">
        <v>2464000000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562</v>
      </c>
      <c r="D26" s="18" t="n">
        <v>7600000</v>
      </c>
      <c r="E26" s="19" t="n">
        <v>4271200000</v>
      </c>
    </row>
    <row r="27">
      <c r="A27" s="8" t="inlineStr">
        <is>
          <t xml:space="preserve">  Special Districts subtotal</t>
        </is>
      </c>
      <c r="B27" s="20" t="n">
        <v>562</v>
      </c>
      <c r="C27" s="21" t="n"/>
      <c r="D27" s="21" t="n"/>
      <c r="E27" s="22" t="n">
        <v>4271200000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KS — Kansas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278</v>
      </c>
      <c r="C6" s="17" t="n">
        <v>450</v>
      </c>
      <c r="D6" s="18" t="n">
        <v>2000</v>
      </c>
      <c r="E6" s="19" t="n">
        <v>250200000</v>
      </c>
    </row>
    <row r="7">
      <c r="A7" s="2" t="inlineStr">
        <is>
          <t>1K-5K</t>
        </is>
      </c>
      <c r="B7" s="17" t="n">
        <v>200</v>
      </c>
      <c r="C7" s="17" t="n">
        <v>2700</v>
      </c>
      <c r="D7" s="18" t="n">
        <v>2500</v>
      </c>
      <c r="E7" s="19" t="n">
        <v>1350000000</v>
      </c>
    </row>
    <row r="8">
      <c r="A8" s="2" t="inlineStr">
        <is>
          <t>5K-10K</t>
        </is>
      </c>
      <c r="B8" s="17" t="n">
        <v>65</v>
      </c>
      <c r="C8" s="17" t="n">
        <v>7100</v>
      </c>
      <c r="D8" s="18" t="n">
        <v>3000</v>
      </c>
      <c r="E8" s="19" t="n">
        <v>1384500000</v>
      </c>
    </row>
    <row r="9">
      <c r="A9" s="2" t="inlineStr">
        <is>
          <t>10K-20K</t>
        </is>
      </c>
      <c r="B9" s="17" t="n">
        <v>44</v>
      </c>
      <c r="C9" s="17" t="n">
        <v>14000</v>
      </c>
      <c r="D9" s="18" t="n">
        <v>3500</v>
      </c>
      <c r="E9" s="19" t="n">
        <v>2156000000</v>
      </c>
    </row>
    <row r="10">
      <c r="A10" s="2" t="inlineStr">
        <is>
          <t>20K-50K</t>
        </is>
      </c>
      <c r="B10" s="17" t="n">
        <v>27</v>
      </c>
      <c r="C10" s="17" t="n">
        <v>31000</v>
      </c>
      <c r="D10" s="18" t="n">
        <v>4200</v>
      </c>
      <c r="E10" s="19" t="n">
        <v>3515400000</v>
      </c>
    </row>
    <row r="11">
      <c r="A11" s="2" t="inlineStr">
        <is>
          <t>50K-100K</t>
        </is>
      </c>
      <c r="B11" s="17" t="n">
        <v>7</v>
      </c>
      <c r="C11" s="17" t="n">
        <v>70000</v>
      </c>
      <c r="D11" s="18" t="n">
        <v>4800</v>
      </c>
      <c r="E11" s="19" t="n">
        <v>2352000000</v>
      </c>
    </row>
    <row r="12">
      <c r="A12" s="2" t="inlineStr">
        <is>
          <t>100K+</t>
        </is>
      </c>
      <c r="B12" s="17" t="n">
        <v>3</v>
      </c>
      <c r="C12" s="17" t="n">
        <v>220000</v>
      </c>
      <c r="D12" s="18" t="n">
        <v>7000</v>
      </c>
      <c r="E12" s="19" t="n">
        <v>4620000000</v>
      </c>
    </row>
    <row r="13">
      <c r="A13" s="8" t="inlineStr">
        <is>
          <t xml:space="preserve">  Municipalities subtotal</t>
        </is>
      </c>
      <c r="B13" s="20" t="n">
        <v>624</v>
      </c>
      <c r="C13" s="21" t="n"/>
      <c r="D13" s="21" t="n"/>
      <c r="E13" s="22" t="n">
        <v>15628100000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2</v>
      </c>
      <c r="C16" s="17" t="n">
        <v>450</v>
      </c>
      <c r="D16" s="18" t="n">
        <v>3500</v>
      </c>
      <c r="E16" s="19" t="n">
        <v>3150000</v>
      </c>
    </row>
    <row r="17">
      <c r="A17" s="2" t="inlineStr">
        <is>
          <t>1K-5K</t>
        </is>
      </c>
      <c r="B17" s="17" t="n">
        <v>16</v>
      </c>
      <c r="C17" s="17" t="n">
        <v>2700</v>
      </c>
      <c r="D17" s="18" t="n">
        <v>3300</v>
      </c>
      <c r="E17" s="19" t="n">
        <v>142560000</v>
      </c>
    </row>
    <row r="18">
      <c r="A18" s="2" t="inlineStr">
        <is>
          <t>5K-10K</t>
        </is>
      </c>
      <c r="B18" s="17" t="n">
        <v>17</v>
      </c>
      <c r="C18" s="17" t="n">
        <v>7100</v>
      </c>
      <c r="D18" s="18" t="n">
        <v>2900</v>
      </c>
      <c r="E18" s="19" t="n">
        <v>350030000</v>
      </c>
    </row>
    <row r="19">
      <c r="A19" s="2" t="inlineStr">
        <is>
          <t>10K-20K</t>
        </is>
      </c>
      <c r="B19" s="17" t="n">
        <v>22</v>
      </c>
      <c r="C19" s="17" t="n">
        <v>14000</v>
      </c>
      <c r="D19" s="18" t="n">
        <v>2700</v>
      </c>
      <c r="E19" s="19" t="n">
        <v>831600000</v>
      </c>
    </row>
    <row r="20">
      <c r="A20" s="2" t="inlineStr">
        <is>
          <t>20K-50K</t>
        </is>
      </c>
      <c r="B20" s="17" t="n">
        <v>25</v>
      </c>
      <c r="C20" s="17" t="n">
        <v>31000</v>
      </c>
      <c r="D20" s="18" t="n">
        <v>2900</v>
      </c>
      <c r="E20" s="19" t="n">
        <v>2247500000</v>
      </c>
    </row>
    <row r="21">
      <c r="A21" s="2" t="inlineStr">
        <is>
          <t>50K-100K</t>
        </is>
      </c>
      <c r="B21" s="17" t="n">
        <v>12</v>
      </c>
      <c r="C21" s="17" t="n">
        <v>70000</v>
      </c>
      <c r="D21" s="18" t="n">
        <v>3200</v>
      </c>
      <c r="E21" s="19" t="n">
        <v>2688000000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727</v>
      </c>
      <c r="C26" s="17" t="n">
        <v>450</v>
      </c>
      <c r="D26" s="18" t="n">
        <v>600</v>
      </c>
      <c r="E26" s="19" t="n">
        <v>196290000</v>
      </c>
    </row>
    <row r="27">
      <c r="A27" s="2" t="inlineStr">
        <is>
          <t>1K-5K</t>
        </is>
      </c>
      <c r="B27" s="17" t="n">
        <v>390</v>
      </c>
      <c r="C27" s="17" t="n">
        <v>2700</v>
      </c>
      <c r="D27" s="18" t="n">
        <v>800</v>
      </c>
      <c r="E27" s="19" t="n">
        <v>842400000</v>
      </c>
    </row>
    <row r="28">
      <c r="A28" s="2" t="inlineStr">
        <is>
          <t>5K-10K</t>
        </is>
      </c>
      <c r="B28" s="17" t="n">
        <v>89</v>
      </c>
      <c r="C28" s="17" t="n">
        <v>7100</v>
      </c>
      <c r="D28" s="18" t="n">
        <v>1100</v>
      </c>
      <c r="E28" s="19" t="n">
        <v>695090000</v>
      </c>
    </row>
    <row r="29">
      <c r="A29" s="2" t="inlineStr">
        <is>
          <t>10K-20K</t>
        </is>
      </c>
      <c r="B29" s="17" t="n">
        <v>40</v>
      </c>
      <c r="C29" s="17" t="n">
        <v>14000</v>
      </c>
      <c r="D29" s="18" t="n">
        <v>1400</v>
      </c>
      <c r="E29" s="19" t="n">
        <v>784000000</v>
      </c>
    </row>
    <row r="30">
      <c r="A30" s="2" t="inlineStr">
        <is>
          <t>20K-50K</t>
        </is>
      </c>
      <c r="B30" s="17" t="n">
        <v>18</v>
      </c>
      <c r="C30" s="17" t="n">
        <v>31000</v>
      </c>
      <c r="D30" s="18" t="n">
        <v>1600</v>
      </c>
      <c r="E30" s="19" t="n">
        <v>892800000</v>
      </c>
    </row>
    <row r="31">
      <c r="A31" s="2" t="inlineStr">
        <is>
          <t>50K-100K</t>
        </is>
      </c>
      <c r="B31" s="17" t="n">
        <v>4</v>
      </c>
      <c r="C31" s="17" t="n">
        <v>70000</v>
      </c>
      <c r="D31" s="18" t="n">
        <v>1700</v>
      </c>
      <c r="E31" s="19" t="n">
        <v>476000000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1268</v>
      </c>
      <c r="C33" s="21" t="n"/>
      <c r="D33" s="21" t="n"/>
      <c r="E33" s="22" t="n">
        <v>3886580000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1535</v>
      </c>
      <c r="D36" s="18" t="n">
        <v>7600000</v>
      </c>
      <c r="E36" s="19" t="n">
        <v>11666000000</v>
      </c>
    </row>
    <row r="37">
      <c r="A37" s="8" t="inlineStr">
        <is>
          <t xml:space="preserve">  Special Districts subtotal</t>
        </is>
      </c>
      <c r="B37" s="20" t="n">
        <v>1535</v>
      </c>
      <c r="C37" s="21" t="n"/>
      <c r="D37" s="21" t="n"/>
      <c r="E37" s="22" t="n">
        <v>11666000000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KY — Kentucky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161</v>
      </c>
      <c r="C6" s="17" t="n">
        <v>450</v>
      </c>
      <c r="D6" s="18" t="n">
        <v>2000</v>
      </c>
      <c r="E6" s="19" t="n">
        <v>144900000</v>
      </c>
    </row>
    <row r="7">
      <c r="A7" s="2" t="inlineStr">
        <is>
          <t>1K-5K</t>
        </is>
      </c>
      <c r="B7" s="17" t="n">
        <v>133</v>
      </c>
      <c r="C7" s="17" t="n">
        <v>2700</v>
      </c>
      <c r="D7" s="18" t="n">
        <v>2500</v>
      </c>
      <c r="E7" s="19" t="n">
        <v>897750000</v>
      </c>
    </row>
    <row r="8">
      <c r="A8" s="2" t="inlineStr">
        <is>
          <t>5K-10K</t>
        </is>
      </c>
      <c r="B8" s="17" t="n">
        <v>48</v>
      </c>
      <c r="C8" s="17" t="n">
        <v>7100</v>
      </c>
      <c r="D8" s="18" t="n">
        <v>3000</v>
      </c>
      <c r="E8" s="19" t="n">
        <v>1022400000</v>
      </c>
    </row>
    <row r="9">
      <c r="A9" s="2" t="inlineStr">
        <is>
          <t>10K-20K</t>
        </is>
      </c>
      <c r="B9" s="17" t="n">
        <v>36</v>
      </c>
      <c r="C9" s="17" t="n">
        <v>14000</v>
      </c>
      <c r="D9" s="18" t="n">
        <v>3500</v>
      </c>
      <c r="E9" s="19" t="n">
        <v>1764000000</v>
      </c>
    </row>
    <row r="10">
      <c r="A10" s="2" t="inlineStr">
        <is>
          <t>20K-50K</t>
        </is>
      </c>
      <c r="B10" s="17" t="n">
        <v>26</v>
      </c>
      <c r="C10" s="17" t="n">
        <v>31000</v>
      </c>
      <c r="D10" s="18" t="n">
        <v>4200</v>
      </c>
      <c r="E10" s="19" t="n">
        <v>3385200000</v>
      </c>
    </row>
    <row r="11">
      <c r="A11" s="2" t="inlineStr">
        <is>
          <t>50K-100K</t>
        </is>
      </c>
      <c r="B11" s="17" t="n">
        <v>9</v>
      </c>
      <c r="C11" s="17" t="n">
        <v>70000</v>
      </c>
      <c r="D11" s="18" t="n">
        <v>4800</v>
      </c>
      <c r="E11" s="19" t="n">
        <v>3024000000</v>
      </c>
    </row>
    <row r="12">
      <c r="A12" s="2" t="inlineStr">
        <is>
          <t>100K+</t>
        </is>
      </c>
      <c r="B12" s="17" t="n">
        <v>5</v>
      </c>
      <c r="C12" s="17" t="n">
        <v>220000</v>
      </c>
      <c r="D12" s="18" t="n">
        <v>7000</v>
      </c>
      <c r="E12" s="19" t="n">
        <v>7700000000</v>
      </c>
    </row>
    <row r="13">
      <c r="A13" s="8" t="inlineStr">
        <is>
          <t xml:space="preserve">  Municipalities subtotal</t>
        </is>
      </c>
      <c r="B13" s="20" t="n">
        <v>418</v>
      </c>
      <c r="C13" s="21" t="n"/>
      <c r="D13" s="21" t="n"/>
      <c r="E13" s="22" t="n">
        <v>17938250000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13</v>
      </c>
      <c r="C17" s="17" t="n">
        <v>2700</v>
      </c>
      <c r="D17" s="18" t="n">
        <v>3300</v>
      </c>
      <c r="E17" s="19" t="n">
        <v>115830000</v>
      </c>
    </row>
    <row r="18">
      <c r="A18" s="2" t="inlineStr">
        <is>
          <t>5K-10K</t>
        </is>
      </c>
      <c r="B18" s="17" t="n">
        <v>16</v>
      </c>
      <c r="C18" s="17" t="n">
        <v>7100</v>
      </c>
      <c r="D18" s="18" t="n">
        <v>2900</v>
      </c>
      <c r="E18" s="19" t="n">
        <v>329440000</v>
      </c>
    </row>
    <row r="19">
      <c r="A19" s="2" t="inlineStr">
        <is>
          <t>10K-20K</t>
        </is>
      </c>
      <c r="B19" s="17" t="n">
        <v>22</v>
      </c>
      <c r="C19" s="17" t="n">
        <v>14000</v>
      </c>
      <c r="D19" s="18" t="n">
        <v>2700</v>
      </c>
      <c r="E19" s="19" t="n">
        <v>831600000</v>
      </c>
    </row>
    <row r="20">
      <c r="A20" s="2" t="inlineStr">
        <is>
          <t>20K-50K</t>
        </is>
      </c>
      <c r="B20" s="17" t="n">
        <v>31</v>
      </c>
      <c r="C20" s="17" t="n">
        <v>31000</v>
      </c>
      <c r="D20" s="18" t="n">
        <v>2900</v>
      </c>
      <c r="E20" s="19" t="n">
        <v>2786900000</v>
      </c>
    </row>
    <row r="21">
      <c r="A21" s="2" t="inlineStr">
        <is>
          <t>50K-100K</t>
        </is>
      </c>
      <c r="B21" s="17" t="n">
        <v>18</v>
      </c>
      <c r="C21" s="17" t="n">
        <v>70000</v>
      </c>
      <c r="D21" s="18" t="n">
        <v>3200</v>
      </c>
      <c r="E21" s="19" t="n">
        <v>4032000000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720</v>
      </c>
      <c r="D26" s="18" t="n">
        <v>7600000</v>
      </c>
      <c r="E26" s="19" t="n">
        <v>5472000000</v>
      </c>
    </row>
    <row r="27">
      <c r="A27" s="8" t="inlineStr">
        <is>
          <t xml:space="preserve">  Special Districts subtotal</t>
        </is>
      </c>
      <c r="B27" s="20" t="n">
        <v>720</v>
      </c>
      <c r="C27" s="21" t="n"/>
      <c r="D27" s="21" t="n"/>
      <c r="E27" s="22" t="n">
        <v>5472000000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LA — Louisiana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117</v>
      </c>
      <c r="C6" s="17" t="n">
        <v>450</v>
      </c>
      <c r="D6" s="18" t="n">
        <v>2000</v>
      </c>
      <c r="E6" s="19" t="n">
        <v>105300000</v>
      </c>
    </row>
    <row r="7">
      <c r="A7" s="2" t="inlineStr">
        <is>
          <t>1K-5K</t>
        </is>
      </c>
      <c r="B7" s="17" t="n">
        <v>97</v>
      </c>
      <c r="C7" s="17" t="n">
        <v>2700</v>
      </c>
      <c r="D7" s="18" t="n">
        <v>2500</v>
      </c>
      <c r="E7" s="19" t="n">
        <v>654750000</v>
      </c>
    </row>
    <row r="8">
      <c r="A8" s="2" t="inlineStr">
        <is>
          <t>5K-10K</t>
        </is>
      </c>
      <c r="B8" s="17" t="n">
        <v>35</v>
      </c>
      <c r="C8" s="17" t="n">
        <v>7100</v>
      </c>
      <c r="D8" s="18" t="n">
        <v>3000</v>
      </c>
      <c r="E8" s="19" t="n">
        <v>745500000</v>
      </c>
    </row>
    <row r="9">
      <c r="A9" s="2" t="inlineStr">
        <is>
          <t>10K-20K</t>
        </is>
      </c>
      <c r="B9" s="17" t="n">
        <v>27</v>
      </c>
      <c r="C9" s="17" t="n">
        <v>14000</v>
      </c>
      <c r="D9" s="18" t="n">
        <v>3500</v>
      </c>
      <c r="E9" s="19" t="n">
        <v>1323000000</v>
      </c>
    </row>
    <row r="10">
      <c r="A10" s="2" t="inlineStr">
        <is>
          <t>20K-50K</t>
        </is>
      </c>
      <c r="B10" s="17" t="n">
        <v>19</v>
      </c>
      <c r="C10" s="17" t="n">
        <v>31000</v>
      </c>
      <c r="D10" s="18" t="n">
        <v>4200</v>
      </c>
      <c r="E10" s="19" t="n">
        <v>2473800000</v>
      </c>
    </row>
    <row r="11">
      <c r="A11" s="2" t="inlineStr">
        <is>
          <t>50K-100K</t>
        </is>
      </c>
      <c r="B11" s="17" t="n">
        <v>6</v>
      </c>
      <c r="C11" s="17" t="n">
        <v>70000</v>
      </c>
      <c r="D11" s="18" t="n">
        <v>4800</v>
      </c>
      <c r="E11" s="19" t="n">
        <v>2016000000</v>
      </c>
    </row>
    <row r="12">
      <c r="A12" s="2" t="inlineStr">
        <is>
          <t>100K+</t>
        </is>
      </c>
      <c r="B12" s="17" t="n">
        <v>3</v>
      </c>
      <c r="C12" s="17" t="n">
        <v>220000</v>
      </c>
      <c r="D12" s="18" t="n">
        <v>7000</v>
      </c>
      <c r="E12" s="19" t="n">
        <v>4620000000</v>
      </c>
    </row>
    <row r="13">
      <c r="A13" s="8" t="inlineStr">
        <is>
          <t xml:space="preserve">  Municipalities subtotal</t>
        </is>
      </c>
      <c r="B13" s="20" t="n">
        <v>304</v>
      </c>
      <c r="C13" s="21" t="n"/>
      <c r="D13" s="21" t="n"/>
      <c r="E13" s="22" t="n">
        <v>11938350000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7</v>
      </c>
      <c r="C17" s="17" t="n">
        <v>2700</v>
      </c>
      <c r="D17" s="18" t="n">
        <v>3300</v>
      </c>
      <c r="E17" s="19" t="n">
        <v>62370000</v>
      </c>
    </row>
    <row r="18">
      <c r="A18" s="2" t="inlineStr">
        <is>
          <t>5K-10K</t>
        </is>
      </c>
      <c r="B18" s="17" t="n">
        <v>8</v>
      </c>
      <c r="C18" s="17" t="n">
        <v>7100</v>
      </c>
      <c r="D18" s="18" t="n">
        <v>2900</v>
      </c>
      <c r="E18" s="19" t="n">
        <v>164720000</v>
      </c>
    </row>
    <row r="19">
      <c r="A19" s="2" t="inlineStr">
        <is>
          <t>10K-20K</t>
        </is>
      </c>
      <c r="B19" s="17" t="n">
        <v>11</v>
      </c>
      <c r="C19" s="17" t="n">
        <v>14000</v>
      </c>
      <c r="D19" s="18" t="n">
        <v>2700</v>
      </c>
      <c r="E19" s="19" t="n">
        <v>415800000</v>
      </c>
    </row>
    <row r="20">
      <c r="A20" s="2" t="inlineStr">
        <is>
          <t>20K-50K</t>
        </is>
      </c>
      <c r="B20" s="17" t="n">
        <v>16</v>
      </c>
      <c r="C20" s="17" t="n">
        <v>31000</v>
      </c>
      <c r="D20" s="18" t="n">
        <v>2900</v>
      </c>
      <c r="E20" s="19" t="n">
        <v>1438400000</v>
      </c>
    </row>
    <row r="21">
      <c r="A21" s="2" t="inlineStr">
        <is>
          <t>50K-100K</t>
        </is>
      </c>
      <c r="B21" s="17" t="n">
        <v>9</v>
      </c>
      <c r="C21" s="17" t="n">
        <v>70000</v>
      </c>
      <c r="D21" s="18" t="n">
        <v>3200</v>
      </c>
      <c r="E21" s="19" t="n">
        <v>2016000000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95</v>
      </c>
      <c r="D26" s="18" t="n">
        <v>7600000</v>
      </c>
      <c r="E26" s="19" t="n">
        <v>722000000</v>
      </c>
    </row>
    <row r="27">
      <c r="A27" s="8" t="inlineStr">
        <is>
          <t xml:space="preserve">  Special Districts subtotal</t>
        </is>
      </c>
      <c r="B27" s="20" t="n">
        <v>95</v>
      </c>
      <c r="C27" s="21" t="n"/>
      <c r="D27" s="21" t="n"/>
      <c r="E27" s="22" t="n">
        <v>722000000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ME — Maine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10</v>
      </c>
      <c r="C6" s="17" t="n">
        <v>450</v>
      </c>
      <c r="D6" s="18" t="n">
        <v>2000</v>
      </c>
      <c r="E6" s="19" t="n">
        <v>9000000</v>
      </c>
    </row>
    <row r="7">
      <c r="A7" s="2" t="inlineStr">
        <is>
          <t>1K-5K</t>
        </is>
      </c>
      <c r="B7" s="17" t="n">
        <v>7</v>
      </c>
      <c r="C7" s="17" t="n">
        <v>2700</v>
      </c>
      <c r="D7" s="18" t="n">
        <v>2500</v>
      </c>
      <c r="E7" s="19" t="n">
        <v>47250000</v>
      </c>
    </row>
    <row r="8">
      <c r="A8" s="2" t="inlineStr">
        <is>
          <t>5K-10K</t>
        </is>
      </c>
      <c r="B8" s="17" t="n">
        <v>2</v>
      </c>
      <c r="C8" s="17" t="n">
        <v>7100</v>
      </c>
      <c r="D8" s="18" t="n">
        <v>3000</v>
      </c>
      <c r="E8" s="19" t="n">
        <v>42600000</v>
      </c>
    </row>
    <row r="9">
      <c r="A9" s="2" t="inlineStr">
        <is>
          <t>10K-20K</t>
        </is>
      </c>
      <c r="B9" s="17" t="n">
        <v>2</v>
      </c>
      <c r="C9" s="17" t="n">
        <v>14000</v>
      </c>
      <c r="D9" s="18" t="n">
        <v>3500</v>
      </c>
      <c r="E9" s="19" t="n">
        <v>98000000</v>
      </c>
    </row>
    <row r="10">
      <c r="A10" s="2" t="inlineStr">
        <is>
          <t>20K-50K</t>
        </is>
      </c>
      <c r="B10" s="17" t="n">
        <v>1</v>
      </c>
      <c r="C10" s="17" t="n">
        <v>31000</v>
      </c>
      <c r="D10" s="18" t="n">
        <v>4200</v>
      </c>
      <c r="E10" s="19" t="n">
        <v>130200000</v>
      </c>
    </row>
    <row r="11">
      <c r="A11" s="2" t="inlineStr">
        <is>
          <t>50K-100K</t>
        </is>
      </c>
      <c r="B11" s="17" t="n">
        <v>0</v>
      </c>
      <c r="C11" s="17" t="n">
        <v>70000</v>
      </c>
      <c r="D11" s="18" t="n">
        <v>4800</v>
      </c>
      <c r="E11" s="19" t="n">
        <v>0</v>
      </c>
    </row>
    <row r="12">
      <c r="A12" s="2" t="inlineStr">
        <is>
          <t>100K+</t>
        </is>
      </c>
      <c r="B12" s="17" t="n">
        <v>0</v>
      </c>
      <c r="C12" s="17" t="n">
        <v>220000</v>
      </c>
      <c r="D12" s="18" t="n">
        <v>7000</v>
      </c>
      <c r="E12" s="19" t="n">
        <v>0</v>
      </c>
    </row>
    <row r="13">
      <c r="A13" s="8" t="inlineStr">
        <is>
          <t xml:space="preserve">  Municipalities subtotal</t>
        </is>
      </c>
      <c r="B13" s="20" t="n">
        <v>22</v>
      </c>
      <c r="C13" s="21" t="n"/>
      <c r="D13" s="21" t="n"/>
      <c r="E13" s="22" t="n">
        <v>327050000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3</v>
      </c>
      <c r="C17" s="17" t="n">
        <v>2700</v>
      </c>
      <c r="D17" s="18" t="n">
        <v>3300</v>
      </c>
      <c r="E17" s="19" t="n">
        <v>26730000</v>
      </c>
    </row>
    <row r="18">
      <c r="A18" s="2" t="inlineStr">
        <is>
          <t>5K-10K</t>
        </is>
      </c>
      <c r="B18" s="17" t="n">
        <v>3</v>
      </c>
      <c r="C18" s="17" t="n">
        <v>7100</v>
      </c>
      <c r="D18" s="18" t="n">
        <v>2900</v>
      </c>
      <c r="E18" s="19" t="n">
        <v>61770000</v>
      </c>
    </row>
    <row r="19">
      <c r="A19" s="2" t="inlineStr">
        <is>
          <t>10K-20K</t>
        </is>
      </c>
      <c r="B19" s="17" t="n">
        <v>3</v>
      </c>
      <c r="C19" s="17" t="n">
        <v>14000</v>
      </c>
      <c r="D19" s="18" t="n">
        <v>2700</v>
      </c>
      <c r="E19" s="19" t="n">
        <v>113400000</v>
      </c>
    </row>
    <row r="20">
      <c r="A20" s="2" t="inlineStr">
        <is>
          <t>20K-50K</t>
        </is>
      </c>
      <c r="B20" s="17" t="n">
        <v>4</v>
      </c>
      <c r="C20" s="17" t="n">
        <v>31000</v>
      </c>
      <c r="D20" s="18" t="n">
        <v>2900</v>
      </c>
      <c r="E20" s="19" t="n">
        <v>359600000</v>
      </c>
    </row>
    <row r="21">
      <c r="A21" s="2" t="inlineStr">
        <is>
          <t>50K-100K</t>
        </is>
      </c>
      <c r="B21" s="17" t="n">
        <v>2</v>
      </c>
      <c r="C21" s="17" t="n">
        <v>70000</v>
      </c>
      <c r="D21" s="18" t="n">
        <v>3200</v>
      </c>
      <c r="E21" s="19" t="n">
        <v>448000000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268</v>
      </c>
      <c r="C26" s="17" t="n">
        <v>450</v>
      </c>
      <c r="D26" s="18" t="n">
        <v>600</v>
      </c>
      <c r="E26" s="19" t="n">
        <v>72360000</v>
      </c>
    </row>
    <row r="27">
      <c r="A27" s="2" t="inlineStr">
        <is>
          <t>1K-5K</t>
        </is>
      </c>
      <c r="B27" s="17" t="n">
        <v>144</v>
      </c>
      <c r="C27" s="17" t="n">
        <v>2700</v>
      </c>
      <c r="D27" s="18" t="n">
        <v>800</v>
      </c>
      <c r="E27" s="19" t="n">
        <v>311040000</v>
      </c>
    </row>
    <row r="28">
      <c r="A28" s="2" t="inlineStr">
        <is>
          <t>5K-10K</t>
        </is>
      </c>
      <c r="B28" s="17" t="n">
        <v>32</v>
      </c>
      <c r="C28" s="17" t="n">
        <v>7100</v>
      </c>
      <c r="D28" s="18" t="n">
        <v>1100</v>
      </c>
      <c r="E28" s="19" t="n">
        <v>249920000</v>
      </c>
    </row>
    <row r="29">
      <c r="A29" s="2" t="inlineStr">
        <is>
          <t>10K-20K</t>
        </is>
      </c>
      <c r="B29" s="17" t="n">
        <v>15</v>
      </c>
      <c r="C29" s="17" t="n">
        <v>14000</v>
      </c>
      <c r="D29" s="18" t="n">
        <v>1400</v>
      </c>
      <c r="E29" s="19" t="n">
        <v>294000000</v>
      </c>
    </row>
    <row r="30">
      <c r="A30" s="2" t="inlineStr">
        <is>
          <t>20K-50K</t>
        </is>
      </c>
      <c r="B30" s="17" t="n">
        <v>7</v>
      </c>
      <c r="C30" s="17" t="n">
        <v>31000</v>
      </c>
      <c r="D30" s="18" t="n">
        <v>1600</v>
      </c>
      <c r="E30" s="19" t="n">
        <v>347200000</v>
      </c>
    </row>
    <row r="31">
      <c r="A31" s="2" t="inlineStr">
        <is>
          <t>50K-100K</t>
        </is>
      </c>
      <c r="B31" s="17" t="n">
        <v>1</v>
      </c>
      <c r="C31" s="17" t="n">
        <v>70000</v>
      </c>
      <c r="D31" s="18" t="n">
        <v>1700</v>
      </c>
      <c r="E31" s="19" t="n">
        <v>119000000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467</v>
      </c>
      <c r="C33" s="21" t="n"/>
      <c r="D33" s="21" t="n"/>
      <c r="E33" s="22" t="n">
        <v>1393520000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226</v>
      </c>
      <c r="D36" s="18" t="n">
        <v>7600000</v>
      </c>
      <c r="E36" s="19" t="n">
        <v>1717600000</v>
      </c>
    </row>
    <row r="37">
      <c r="A37" s="8" t="inlineStr">
        <is>
          <t xml:space="preserve">  Special Districts subtotal</t>
        </is>
      </c>
      <c r="B37" s="20" t="n">
        <v>226</v>
      </c>
      <c r="C37" s="21" t="n"/>
      <c r="D37" s="21" t="n"/>
      <c r="E37" s="22" t="n">
        <v>1717600000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MD — Maryland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47</v>
      </c>
      <c r="C6" s="17" t="n">
        <v>450</v>
      </c>
      <c r="D6" s="18" t="n">
        <v>2000</v>
      </c>
      <c r="E6" s="19" t="n">
        <v>42300000</v>
      </c>
    </row>
    <row r="7">
      <c r="A7" s="2" t="inlineStr">
        <is>
          <t>1K-5K</t>
        </is>
      </c>
      <c r="B7" s="17" t="n">
        <v>45</v>
      </c>
      <c r="C7" s="17" t="n">
        <v>2700</v>
      </c>
      <c r="D7" s="18" t="n">
        <v>2500</v>
      </c>
      <c r="E7" s="19" t="n">
        <v>303750000</v>
      </c>
    </row>
    <row r="8">
      <c r="A8" s="2" t="inlineStr">
        <is>
          <t>5K-10K</t>
        </is>
      </c>
      <c r="B8" s="17" t="n">
        <v>20</v>
      </c>
      <c r="C8" s="17" t="n">
        <v>7100</v>
      </c>
      <c r="D8" s="18" t="n">
        <v>3000</v>
      </c>
      <c r="E8" s="19" t="n">
        <v>426000000</v>
      </c>
    </row>
    <row r="9">
      <c r="A9" s="2" t="inlineStr">
        <is>
          <t>10K-20K</t>
        </is>
      </c>
      <c r="B9" s="17" t="n">
        <v>18</v>
      </c>
      <c r="C9" s="17" t="n">
        <v>14000</v>
      </c>
      <c r="D9" s="18" t="n">
        <v>3500</v>
      </c>
      <c r="E9" s="19" t="n">
        <v>882000000</v>
      </c>
    </row>
    <row r="10">
      <c r="A10" s="2" t="inlineStr">
        <is>
          <t>20K-50K</t>
        </is>
      </c>
      <c r="B10" s="17" t="n">
        <v>16</v>
      </c>
      <c r="C10" s="17" t="n">
        <v>31000</v>
      </c>
      <c r="D10" s="18" t="n">
        <v>4200</v>
      </c>
      <c r="E10" s="19" t="n">
        <v>2083200000</v>
      </c>
    </row>
    <row r="11">
      <c r="A11" s="2" t="inlineStr">
        <is>
          <t>50K-100K</t>
        </is>
      </c>
      <c r="B11" s="17" t="n">
        <v>6</v>
      </c>
      <c r="C11" s="17" t="n">
        <v>70000</v>
      </c>
      <c r="D11" s="18" t="n">
        <v>4800</v>
      </c>
      <c r="E11" s="19" t="n">
        <v>2016000000</v>
      </c>
    </row>
    <row r="12">
      <c r="A12" s="2" t="inlineStr">
        <is>
          <t>100K+</t>
        </is>
      </c>
      <c r="B12" s="17" t="n">
        <v>5</v>
      </c>
      <c r="C12" s="17" t="n">
        <v>220000</v>
      </c>
      <c r="D12" s="18" t="n">
        <v>7000</v>
      </c>
      <c r="E12" s="19" t="n">
        <v>7700000000</v>
      </c>
    </row>
    <row r="13">
      <c r="A13" s="8" t="inlineStr">
        <is>
          <t xml:space="preserve">  Municipalities subtotal</t>
        </is>
      </c>
      <c r="B13" s="20" t="n">
        <v>157</v>
      </c>
      <c r="C13" s="21" t="n"/>
      <c r="D13" s="21" t="n"/>
      <c r="E13" s="22" t="n">
        <v>13453250000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1</v>
      </c>
      <c r="C17" s="17" t="n">
        <v>2700</v>
      </c>
      <c r="D17" s="18" t="n">
        <v>3300</v>
      </c>
      <c r="E17" s="19" t="n">
        <v>8910000</v>
      </c>
    </row>
    <row r="18">
      <c r="A18" s="2" t="inlineStr">
        <is>
          <t>5K-10K</t>
        </is>
      </c>
      <c r="B18" s="17" t="n">
        <v>2</v>
      </c>
      <c r="C18" s="17" t="n">
        <v>7100</v>
      </c>
      <c r="D18" s="18" t="n">
        <v>2900</v>
      </c>
      <c r="E18" s="19" t="n">
        <v>41180000</v>
      </c>
    </row>
    <row r="19">
      <c r="A19" s="2" t="inlineStr">
        <is>
          <t>10K-20K</t>
        </is>
      </c>
      <c r="B19" s="17" t="n">
        <v>4</v>
      </c>
      <c r="C19" s="17" t="n">
        <v>14000</v>
      </c>
      <c r="D19" s="18" t="n">
        <v>2700</v>
      </c>
      <c r="E19" s="19" t="n">
        <v>151200000</v>
      </c>
    </row>
    <row r="20">
      <c r="A20" s="2" t="inlineStr">
        <is>
          <t>20K-50K</t>
        </is>
      </c>
      <c r="B20" s="17" t="n">
        <v>6</v>
      </c>
      <c r="C20" s="17" t="n">
        <v>31000</v>
      </c>
      <c r="D20" s="18" t="n">
        <v>2900</v>
      </c>
      <c r="E20" s="19" t="n">
        <v>539400000</v>
      </c>
    </row>
    <row r="21">
      <c r="A21" s="2" t="inlineStr">
        <is>
          <t>50K-100K</t>
        </is>
      </c>
      <c r="B21" s="17" t="n">
        <v>4</v>
      </c>
      <c r="C21" s="17" t="n">
        <v>70000</v>
      </c>
      <c r="D21" s="18" t="n">
        <v>3200</v>
      </c>
      <c r="E21" s="19" t="n">
        <v>896000000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90</v>
      </c>
      <c r="D26" s="18" t="n">
        <v>7600000</v>
      </c>
      <c r="E26" s="19" t="n">
        <v>684000000</v>
      </c>
    </row>
    <row r="27">
      <c r="A27" s="8" t="inlineStr">
        <is>
          <t xml:space="preserve">  Special Districts subtotal</t>
        </is>
      </c>
      <c r="B27" s="20" t="n">
        <v>90</v>
      </c>
      <c r="C27" s="21" t="n"/>
      <c r="D27" s="21" t="n"/>
      <c r="E27" s="22" t="n">
        <v>684000000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MA — Massachusetts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12</v>
      </c>
      <c r="C6" s="17" t="n">
        <v>450</v>
      </c>
      <c r="D6" s="18" t="n">
        <v>2000</v>
      </c>
      <c r="E6" s="19" t="n">
        <v>10800000</v>
      </c>
    </row>
    <row r="7">
      <c r="A7" s="2" t="inlineStr">
        <is>
          <t>1K-5K</t>
        </is>
      </c>
      <c r="B7" s="17" t="n">
        <v>13</v>
      </c>
      <c r="C7" s="17" t="n">
        <v>2700</v>
      </c>
      <c r="D7" s="18" t="n">
        <v>2500</v>
      </c>
      <c r="E7" s="19" t="n">
        <v>87750000</v>
      </c>
    </row>
    <row r="8">
      <c r="A8" s="2" t="inlineStr">
        <is>
          <t>5K-10K</t>
        </is>
      </c>
      <c r="B8" s="17" t="n">
        <v>7</v>
      </c>
      <c r="C8" s="17" t="n">
        <v>7100</v>
      </c>
      <c r="D8" s="18" t="n">
        <v>3000</v>
      </c>
      <c r="E8" s="19" t="n">
        <v>149100000</v>
      </c>
    </row>
    <row r="9">
      <c r="A9" s="2" t="inlineStr">
        <is>
          <t>10K-20K</t>
        </is>
      </c>
      <c r="B9" s="17" t="n">
        <v>7</v>
      </c>
      <c r="C9" s="17" t="n">
        <v>14000</v>
      </c>
      <c r="D9" s="18" t="n">
        <v>3500</v>
      </c>
      <c r="E9" s="19" t="n">
        <v>343000000</v>
      </c>
    </row>
    <row r="10">
      <c r="A10" s="2" t="inlineStr">
        <is>
          <t>20K-50K</t>
        </is>
      </c>
      <c r="B10" s="17" t="n">
        <v>7</v>
      </c>
      <c r="C10" s="17" t="n">
        <v>31000</v>
      </c>
      <c r="D10" s="18" t="n">
        <v>4200</v>
      </c>
      <c r="E10" s="19" t="n">
        <v>911400000</v>
      </c>
    </row>
    <row r="11">
      <c r="A11" s="2" t="inlineStr">
        <is>
          <t>50K-100K</t>
        </is>
      </c>
      <c r="B11" s="17" t="n">
        <v>4</v>
      </c>
      <c r="C11" s="17" t="n">
        <v>70000</v>
      </c>
      <c r="D11" s="18" t="n">
        <v>4800</v>
      </c>
      <c r="E11" s="19" t="n">
        <v>1344000000</v>
      </c>
    </row>
    <row r="12">
      <c r="A12" s="2" t="inlineStr">
        <is>
          <t>100K+</t>
        </is>
      </c>
      <c r="B12" s="17" t="n">
        <v>3</v>
      </c>
      <c r="C12" s="17" t="n">
        <v>220000</v>
      </c>
      <c r="D12" s="18" t="n">
        <v>7000</v>
      </c>
      <c r="E12" s="19" t="n">
        <v>4620000000</v>
      </c>
    </row>
    <row r="13">
      <c r="A13" s="8" t="inlineStr">
        <is>
          <t xml:space="preserve">  Municipalities subtotal</t>
        </is>
      </c>
      <c r="B13" s="20" t="n">
        <v>53</v>
      </c>
      <c r="C13" s="21" t="n"/>
      <c r="D13" s="21" t="n"/>
      <c r="E13" s="22" t="n">
        <v>7466050000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0</v>
      </c>
      <c r="C17" s="17" t="n">
        <v>2700</v>
      </c>
      <c r="D17" s="18" t="n">
        <v>3300</v>
      </c>
      <c r="E17" s="19" t="n">
        <v>0</v>
      </c>
    </row>
    <row r="18">
      <c r="A18" s="2" t="inlineStr">
        <is>
          <t>5K-10K</t>
        </is>
      </c>
      <c r="B18" s="17" t="n">
        <v>0</v>
      </c>
      <c r="C18" s="17" t="n">
        <v>7100</v>
      </c>
      <c r="D18" s="18" t="n">
        <v>2900</v>
      </c>
      <c r="E18" s="19" t="n">
        <v>0</v>
      </c>
    </row>
    <row r="19">
      <c r="A19" s="2" t="inlineStr">
        <is>
          <t>10K-20K</t>
        </is>
      </c>
      <c r="B19" s="17" t="n">
        <v>1</v>
      </c>
      <c r="C19" s="17" t="n">
        <v>14000</v>
      </c>
      <c r="D19" s="18" t="n">
        <v>2700</v>
      </c>
      <c r="E19" s="19" t="n">
        <v>37800000</v>
      </c>
    </row>
    <row r="20">
      <c r="A20" s="2" t="inlineStr">
        <is>
          <t>20K-50K</t>
        </is>
      </c>
      <c r="B20" s="17" t="n">
        <v>1</v>
      </c>
      <c r="C20" s="17" t="n">
        <v>31000</v>
      </c>
      <c r="D20" s="18" t="n">
        <v>2900</v>
      </c>
      <c r="E20" s="19" t="n">
        <v>89900000</v>
      </c>
    </row>
    <row r="21">
      <c r="A21" s="2" t="inlineStr">
        <is>
          <t>50K-100K</t>
        </is>
      </c>
      <c r="B21" s="17" t="n">
        <v>1</v>
      </c>
      <c r="C21" s="17" t="n">
        <v>70000</v>
      </c>
      <c r="D21" s="18" t="n">
        <v>3200</v>
      </c>
      <c r="E21" s="19" t="n">
        <v>224000000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118</v>
      </c>
      <c r="C26" s="17" t="n">
        <v>450</v>
      </c>
      <c r="D26" s="18" t="n">
        <v>600</v>
      </c>
      <c r="E26" s="19" t="n">
        <v>31860000</v>
      </c>
    </row>
    <row r="27">
      <c r="A27" s="2" t="inlineStr">
        <is>
          <t>1K-5K</t>
        </is>
      </c>
      <c r="B27" s="17" t="n">
        <v>96</v>
      </c>
      <c r="C27" s="17" t="n">
        <v>2700</v>
      </c>
      <c r="D27" s="18" t="n">
        <v>800</v>
      </c>
      <c r="E27" s="19" t="n">
        <v>207360000</v>
      </c>
    </row>
    <row r="28">
      <c r="A28" s="2" t="inlineStr">
        <is>
          <t>5K-10K</t>
        </is>
      </c>
      <c r="B28" s="17" t="n">
        <v>35</v>
      </c>
      <c r="C28" s="17" t="n">
        <v>7100</v>
      </c>
      <c r="D28" s="18" t="n">
        <v>1100</v>
      </c>
      <c r="E28" s="19" t="n">
        <v>273350000</v>
      </c>
    </row>
    <row r="29">
      <c r="A29" s="2" t="inlineStr">
        <is>
          <t>10K-20K</t>
        </is>
      </c>
      <c r="B29" s="17" t="n">
        <v>23</v>
      </c>
      <c r="C29" s="17" t="n">
        <v>14000</v>
      </c>
      <c r="D29" s="18" t="n">
        <v>1400</v>
      </c>
      <c r="E29" s="19" t="n">
        <v>450800000</v>
      </c>
    </row>
    <row r="30">
      <c r="A30" s="2" t="inlineStr">
        <is>
          <t>20K-50K</t>
        </is>
      </c>
      <c r="B30" s="17" t="n">
        <v>18</v>
      </c>
      <c r="C30" s="17" t="n">
        <v>31000</v>
      </c>
      <c r="D30" s="18" t="n">
        <v>1600</v>
      </c>
      <c r="E30" s="19" t="n">
        <v>892800000</v>
      </c>
    </row>
    <row r="31">
      <c r="A31" s="2" t="inlineStr">
        <is>
          <t>50K-100K</t>
        </is>
      </c>
      <c r="B31" s="17" t="n">
        <v>8</v>
      </c>
      <c r="C31" s="17" t="n">
        <v>70000</v>
      </c>
      <c r="D31" s="18" t="n">
        <v>1700</v>
      </c>
      <c r="E31" s="19" t="n">
        <v>952000000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298</v>
      </c>
      <c r="C33" s="21" t="n"/>
      <c r="D33" s="21" t="n"/>
      <c r="E33" s="22" t="n">
        <v>2808170000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480</v>
      </c>
      <c r="D36" s="18" t="n">
        <v>7600000</v>
      </c>
      <c r="E36" s="19" t="n">
        <v>3648000000</v>
      </c>
    </row>
    <row r="37">
      <c r="A37" s="8" t="inlineStr">
        <is>
          <t xml:space="preserve">  Special Districts subtotal</t>
        </is>
      </c>
      <c r="B37" s="20" t="n">
        <v>480</v>
      </c>
      <c r="C37" s="21" t="n"/>
      <c r="D37" s="21" t="n"/>
      <c r="E37" s="22" t="n">
        <v>3648000000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MI — Michigan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186</v>
      </c>
      <c r="C6" s="17" t="n">
        <v>450</v>
      </c>
      <c r="D6" s="18" t="n">
        <v>2000</v>
      </c>
      <c r="E6" s="19" t="n">
        <v>167400000</v>
      </c>
    </row>
    <row r="7">
      <c r="A7" s="2" t="inlineStr">
        <is>
          <t>1K-5K</t>
        </is>
      </c>
      <c r="B7" s="17" t="n">
        <v>160</v>
      </c>
      <c r="C7" s="17" t="n">
        <v>2700</v>
      </c>
      <c r="D7" s="18" t="n">
        <v>2500</v>
      </c>
      <c r="E7" s="19" t="n">
        <v>1080000000</v>
      </c>
    </row>
    <row r="8">
      <c r="A8" s="2" t="inlineStr">
        <is>
          <t>5K-10K</t>
        </is>
      </c>
      <c r="B8" s="17" t="n">
        <v>64</v>
      </c>
      <c r="C8" s="17" t="n">
        <v>7100</v>
      </c>
      <c r="D8" s="18" t="n">
        <v>3000</v>
      </c>
      <c r="E8" s="19" t="n">
        <v>1363200000</v>
      </c>
    </row>
    <row r="9">
      <c r="A9" s="2" t="inlineStr">
        <is>
          <t>10K-20K</t>
        </is>
      </c>
      <c r="B9" s="17" t="n">
        <v>53</v>
      </c>
      <c r="C9" s="17" t="n">
        <v>14000</v>
      </c>
      <c r="D9" s="18" t="n">
        <v>3500</v>
      </c>
      <c r="E9" s="19" t="n">
        <v>2597000000</v>
      </c>
    </row>
    <row r="10">
      <c r="A10" s="2" t="inlineStr">
        <is>
          <t>20K-50K</t>
        </is>
      </c>
      <c r="B10" s="17" t="n">
        <v>43</v>
      </c>
      <c r="C10" s="17" t="n">
        <v>31000</v>
      </c>
      <c r="D10" s="18" t="n">
        <v>4200</v>
      </c>
      <c r="E10" s="19" t="n">
        <v>5598600000</v>
      </c>
    </row>
    <row r="11">
      <c r="A11" s="2" t="inlineStr">
        <is>
          <t>50K-100K</t>
        </is>
      </c>
      <c r="B11" s="17" t="n">
        <v>16</v>
      </c>
      <c r="C11" s="17" t="n">
        <v>70000</v>
      </c>
      <c r="D11" s="18" t="n">
        <v>4800</v>
      </c>
      <c r="E11" s="19" t="n">
        <v>5376000000</v>
      </c>
    </row>
    <row r="12">
      <c r="A12" s="2" t="inlineStr">
        <is>
          <t>100K+</t>
        </is>
      </c>
      <c r="B12" s="17" t="n">
        <v>11</v>
      </c>
      <c r="C12" s="17" t="n">
        <v>220000</v>
      </c>
      <c r="D12" s="18" t="n">
        <v>7000</v>
      </c>
      <c r="E12" s="19" t="n">
        <v>16940000000</v>
      </c>
    </row>
    <row r="13">
      <c r="A13" s="8" t="inlineStr">
        <is>
          <t xml:space="preserve">  Municipalities subtotal</t>
        </is>
      </c>
      <c r="B13" s="20" t="n">
        <v>533</v>
      </c>
      <c r="C13" s="21" t="n"/>
      <c r="D13" s="21" t="n"/>
      <c r="E13" s="22" t="n">
        <v>33122200000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7</v>
      </c>
      <c r="C17" s="17" t="n">
        <v>2700</v>
      </c>
      <c r="D17" s="18" t="n">
        <v>3300</v>
      </c>
      <c r="E17" s="19" t="n">
        <v>62370000</v>
      </c>
    </row>
    <row r="18">
      <c r="A18" s="2" t="inlineStr">
        <is>
          <t>5K-10K</t>
        </is>
      </c>
      <c r="B18" s="17" t="n">
        <v>9</v>
      </c>
      <c r="C18" s="17" t="n">
        <v>7100</v>
      </c>
      <c r="D18" s="18" t="n">
        <v>2900</v>
      </c>
      <c r="E18" s="19" t="n">
        <v>185310000</v>
      </c>
    </row>
    <row r="19">
      <c r="A19" s="2" t="inlineStr">
        <is>
          <t>10K-20K</t>
        </is>
      </c>
      <c r="B19" s="17" t="n">
        <v>14</v>
      </c>
      <c r="C19" s="17" t="n">
        <v>14000</v>
      </c>
      <c r="D19" s="18" t="n">
        <v>2700</v>
      </c>
      <c r="E19" s="19" t="n">
        <v>529200000</v>
      </c>
    </row>
    <row r="20">
      <c r="A20" s="2" t="inlineStr">
        <is>
          <t>20K-50K</t>
        </is>
      </c>
      <c r="B20" s="17" t="n">
        <v>21</v>
      </c>
      <c r="C20" s="17" t="n">
        <v>31000</v>
      </c>
      <c r="D20" s="18" t="n">
        <v>2900</v>
      </c>
      <c r="E20" s="19" t="n">
        <v>1887900000</v>
      </c>
    </row>
    <row r="21">
      <c r="A21" s="2" t="inlineStr">
        <is>
          <t>50K-100K</t>
        </is>
      </c>
      <c r="B21" s="17" t="n">
        <v>14</v>
      </c>
      <c r="C21" s="17" t="n">
        <v>70000</v>
      </c>
      <c r="D21" s="18" t="n">
        <v>3200</v>
      </c>
      <c r="E21" s="19" t="n">
        <v>3136000000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620</v>
      </c>
      <c r="C26" s="17" t="n">
        <v>450</v>
      </c>
      <c r="D26" s="18" t="n">
        <v>600</v>
      </c>
      <c r="E26" s="19" t="n">
        <v>167400000</v>
      </c>
    </row>
    <row r="27">
      <c r="A27" s="2" t="inlineStr">
        <is>
          <t>1K-5K</t>
        </is>
      </c>
      <c r="B27" s="17" t="n">
        <v>397</v>
      </c>
      <c r="C27" s="17" t="n">
        <v>2700</v>
      </c>
      <c r="D27" s="18" t="n">
        <v>800</v>
      </c>
      <c r="E27" s="19" t="n">
        <v>857520000</v>
      </c>
    </row>
    <row r="28">
      <c r="A28" s="2" t="inlineStr">
        <is>
          <t>5K-10K</t>
        </is>
      </c>
      <c r="B28" s="17" t="n">
        <v>112</v>
      </c>
      <c r="C28" s="17" t="n">
        <v>7100</v>
      </c>
      <c r="D28" s="18" t="n">
        <v>1100</v>
      </c>
      <c r="E28" s="19" t="n">
        <v>874720000</v>
      </c>
    </row>
    <row r="29">
      <c r="A29" s="2" t="inlineStr">
        <is>
          <t>10K-20K</t>
        </is>
      </c>
      <c r="B29" s="17" t="n">
        <v>62</v>
      </c>
      <c r="C29" s="17" t="n">
        <v>14000</v>
      </c>
      <c r="D29" s="18" t="n">
        <v>1400</v>
      </c>
      <c r="E29" s="19" t="n">
        <v>1215200000</v>
      </c>
    </row>
    <row r="30">
      <c r="A30" s="2" t="inlineStr">
        <is>
          <t>20K-50K</t>
        </is>
      </c>
      <c r="B30" s="17" t="n">
        <v>37</v>
      </c>
      <c r="C30" s="17" t="n">
        <v>31000</v>
      </c>
      <c r="D30" s="18" t="n">
        <v>1600</v>
      </c>
      <c r="E30" s="19" t="n">
        <v>1835200000</v>
      </c>
    </row>
    <row r="31">
      <c r="A31" s="2" t="inlineStr">
        <is>
          <t>50K-100K</t>
        </is>
      </c>
      <c r="B31" s="17" t="n">
        <v>12</v>
      </c>
      <c r="C31" s="17" t="n">
        <v>70000</v>
      </c>
      <c r="D31" s="18" t="n">
        <v>1700</v>
      </c>
      <c r="E31" s="19" t="n">
        <v>1428000000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1240</v>
      </c>
      <c r="C33" s="21" t="n"/>
      <c r="D33" s="21" t="n"/>
      <c r="E33" s="22" t="n">
        <v>6378040000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451</v>
      </c>
      <c r="D36" s="18" t="n">
        <v>7600000</v>
      </c>
      <c r="E36" s="19" t="n">
        <v>3427600000</v>
      </c>
    </row>
    <row r="37">
      <c r="A37" s="8" t="inlineStr">
        <is>
          <t xml:space="preserve">  Special Districts subtotal</t>
        </is>
      </c>
      <c r="B37" s="20" t="n">
        <v>451</v>
      </c>
      <c r="C37" s="21" t="n"/>
      <c r="D37" s="21" t="n"/>
      <c r="E37" s="22" t="n">
        <v>3427600000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MN — Minnesota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299</v>
      </c>
      <c r="C6" s="17" t="n">
        <v>450</v>
      </c>
      <c r="D6" s="18" t="n">
        <v>2000</v>
      </c>
      <c r="E6" s="19" t="n">
        <v>269100000</v>
      </c>
    </row>
    <row r="7">
      <c r="A7" s="2" t="inlineStr">
        <is>
          <t>1K-5K</t>
        </is>
      </c>
      <c r="B7" s="17" t="n">
        <v>256</v>
      </c>
      <c r="C7" s="17" t="n">
        <v>2700</v>
      </c>
      <c r="D7" s="18" t="n">
        <v>2500</v>
      </c>
      <c r="E7" s="19" t="n">
        <v>1728000000</v>
      </c>
    </row>
    <row r="8">
      <c r="A8" s="2" t="inlineStr">
        <is>
          <t>5K-10K</t>
        </is>
      </c>
      <c r="B8" s="17" t="n">
        <v>102</v>
      </c>
      <c r="C8" s="17" t="n">
        <v>7100</v>
      </c>
      <c r="D8" s="18" t="n">
        <v>3000</v>
      </c>
      <c r="E8" s="19" t="n">
        <v>2172600000</v>
      </c>
    </row>
    <row r="9">
      <c r="A9" s="2" t="inlineStr">
        <is>
          <t>10K-20K</t>
        </is>
      </c>
      <c r="B9" s="17" t="n">
        <v>85</v>
      </c>
      <c r="C9" s="17" t="n">
        <v>14000</v>
      </c>
      <c r="D9" s="18" t="n">
        <v>3500</v>
      </c>
      <c r="E9" s="19" t="n">
        <v>4165000000</v>
      </c>
    </row>
    <row r="10">
      <c r="A10" s="2" t="inlineStr">
        <is>
          <t>20K-50K</t>
        </is>
      </c>
      <c r="B10" s="17" t="n">
        <v>68</v>
      </c>
      <c r="C10" s="17" t="n">
        <v>31000</v>
      </c>
      <c r="D10" s="18" t="n">
        <v>4200</v>
      </c>
      <c r="E10" s="19" t="n">
        <v>8853600000</v>
      </c>
    </row>
    <row r="11">
      <c r="A11" s="2" t="inlineStr">
        <is>
          <t>50K-100K</t>
        </is>
      </c>
      <c r="B11" s="17" t="n">
        <v>26</v>
      </c>
      <c r="C11" s="17" t="n">
        <v>70000</v>
      </c>
      <c r="D11" s="18" t="n">
        <v>4800</v>
      </c>
      <c r="E11" s="19" t="n">
        <v>8736000000</v>
      </c>
    </row>
    <row r="12">
      <c r="A12" s="2" t="inlineStr">
        <is>
          <t>100K+</t>
        </is>
      </c>
      <c r="B12" s="17" t="n">
        <v>17</v>
      </c>
      <c r="C12" s="17" t="n">
        <v>220000</v>
      </c>
      <c r="D12" s="18" t="n">
        <v>7000</v>
      </c>
      <c r="E12" s="19" t="n">
        <v>26180000000</v>
      </c>
    </row>
    <row r="13">
      <c r="A13" s="8" t="inlineStr">
        <is>
          <t xml:space="preserve">  Municipalities subtotal</t>
        </is>
      </c>
      <c r="B13" s="20" t="n">
        <v>853</v>
      </c>
      <c r="C13" s="21" t="n"/>
      <c r="D13" s="21" t="n"/>
      <c r="E13" s="22" t="n">
        <v>52104300000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7</v>
      </c>
      <c r="C17" s="17" t="n">
        <v>2700</v>
      </c>
      <c r="D17" s="18" t="n">
        <v>3300</v>
      </c>
      <c r="E17" s="19" t="n">
        <v>62370000</v>
      </c>
    </row>
    <row r="18">
      <c r="A18" s="2" t="inlineStr">
        <is>
          <t>5K-10K</t>
        </is>
      </c>
      <c r="B18" s="17" t="n">
        <v>9</v>
      </c>
      <c r="C18" s="17" t="n">
        <v>7100</v>
      </c>
      <c r="D18" s="18" t="n">
        <v>2900</v>
      </c>
      <c r="E18" s="19" t="n">
        <v>185310000</v>
      </c>
    </row>
    <row r="19">
      <c r="A19" s="2" t="inlineStr">
        <is>
          <t>10K-20K</t>
        </is>
      </c>
      <c r="B19" s="17" t="n">
        <v>15</v>
      </c>
      <c r="C19" s="17" t="n">
        <v>14000</v>
      </c>
      <c r="D19" s="18" t="n">
        <v>2700</v>
      </c>
      <c r="E19" s="19" t="n">
        <v>567000000</v>
      </c>
    </row>
    <row r="20">
      <c r="A20" s="2" t="inlineStr">
        <is>
          <t>20K-50K</t>
        </is>
      </c>
      <c r="B20" s="17" t="n">
        <v>23</v>
      </c>
      <c r="C20" s="17" t="n">
        <v>31000</v>
      </c>
      <c r="D20" s="18" t="n">
        <v>2900</v>
      </c>
      <c r="E20" s="19" t="n">
        <v>2067700000</v>
      </c>
    </row>
    <row r="21">
      <c r="A21" s="2" t="inlineStr">
        <is>
          <t>50K-100K</t>
        </is>
      </c>
      <c r="B21" s="17" t="n">
        <v>15</v>
      </c>
      <c r="C21" s="17" t="n">
        <v>70000</v>
      </c>
      <c r="D21" s="18" t="n">
        <v>3200</v>
      </c>
      <c r="E21" s="19" t="n">
        <v>3360000000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891</v>
      </c>
      <c r="C26" s="17" t="n">
        <v>450</v>
      </c>
      <c r="D26" s="18" t="n">
        <v>600</v>
      </c>
      <c r="E26" s="19" t="n">
        <v>240570000</v>
      </c>
    </row>
    <row r="27">
      <c r="A27" s="2" t="inlineStr">
        <is>
          <t>1K-5K</t>
        </is>
      </c>
      <c r="B27" s="17" t="n">
        <v>570</v>
      </c>
      <c r="C27" s="17" t="n">
        <v>2700</v>
      </c>
      <c r="D27" s="18" t="n">
        <v>800</v>
      </c>
      <c r="E27" s="19" t="n">
        <v>1231200000</v>
      </c>
    </row>
    <row r="28">
      <c r="A28" s="2" t="inlineStr">
        <is>
          <t>5K-10K</t>
        </is>
      </c>
      <c r="B28" s="17" t="n">
        <v>160</v>
      </c>
      <c r="C28" s="17" t="n">
        <v>7100</v>
      </c>
      <c r="D28" s="18" t="n">
        <v>1100</v>
      </c>
      <c r="E28" s="19" t="n">
        <v>1249600000</v>
      </c>
    </row>
    <row r="29">
      <c r="A29" s="2" t="inlineStr">
        <is>
          <t>10K-20K</t>
        </is>
      </c>
      <c r="B29" s="17" t="n">
        <v>89</v>
      </c>
      <c r="C29" s="17" t="n">
        <v>14000</v>
      </c>
      <c r="D29" s="18" t="n">
        <v>1400</v>
      </c>
      <c r="E29" s="19" t="n">
        <v>1744400000</v>
      </c>
    </row>
    <row r="30">
      <c r="A30" s="2" t="inlineStr">
        <is>
          <t>20K-50K</t>
        </is>
      </c>
      <c r="B30" s="17" t="n">
        <v>53</v>
      </c>
      <c r="C30" s="17" t="n">
        <v>31000</v>
      </c>
      <c r="D30" s="18" t="n">
        <v>1600</v>
      </c>
      <c r="E30" s="19" t="n">
        <v>2628800000</v>
      </c>
    </row>
    <row r="31">
      <c r="A31" s="2" t="inlineStr">
        <is>
          <t>50K-100K</t>
        </is>
      </c>
      <c r="B31" s="17" t="n">
        <v>18</v>
      </c>
      <c r="C31" s="17" t="n">
        <v>70000</v>
      </c>
      <c r="D31" s="18" t="n">
        <v>1700</v>
      </c>
      <c r="E31" s="19" t="n">
        <v>2142000000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1781</v>
      </c>
      <c r="C33" s="21" t="n"/>
      <c r="D33" s="21" t="n"/>
      <c r="E33" s="22" t="n">
        <v>9236570000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482</v>
      </c>
      <c r="D36" s="18" t="n">
        <v>7600000</v>
      </c>
      <c r="E36" s="19" t="n">
        <v>3663200000</v>
      </c>
    </row>
    <row r="37">
      <c r="A37" s="8" t="inlineStr">
        <is>
          <t xml:space="preserve">  Special Districts subtotal</t>
        </is>
      </c>
      <c r="B37" s="20" t="n">
        <v>482</v>
      </c>
      <c r="C37" s="21" t="n"/>
      <c r="D37" s="21" t="n"/>
      <c r="E37" s="22" t="n">
        <v>3663200000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MS — Mississippi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115</v>
      </c>
      <c r="C6" s="17" t="n">
        <v>450</v>
      </c>
      <c r="D6" s="18" t="n">
        <v>2000</v>
      </c>
      <c r="E6" s="19" t="n">
        <v>103500000</v>
      </c>
    </row>
    <row r="7">
      <c r="A7" s="2" t="inlineStr">
        <is>
          <t>1K-5K</t>
        </is>
      </c>
      <c r="B7" s="17" t="n">
        <v>94</v>
      </c>
      <c r="C7" s="17" t="n">
        <v>2700</v>
      </c>
      <c r="D7" s="18" t="n">
        <v>2500</v>
      </c>
      <c r="E7" s="19" t="n">
        <v>634500000</v>
      </c>
    </row>
    <row r="8">
      <c r="A8" s="2" t="inlineStr">
        <is>
          <t>5K-10K</t>
        </is>
      </c>
      <c r="B8" s="17" t="n">
        <v>34</v>
      </c>
      <c r="C8" s="17" t="n">
        <v>7100</v>
      </c>
      <c r="D8" s="18" t="n">
        <v>3000</v>
      </c>
      <c r="E8" s="19" t="n">
        <v>724200000</v>
      </c>
    </row>
    <row r="9">
      <c r="A9" s="2" t="inlineStr">
        <is>
          <t>10K-20K</t>
        </is>
      </c>
      <c r="B9" s="17" t="n">
        <v>26</v>
      </c>
      <c r="C9" s="17" t="n">
        <v>14000</v>
      </c>
      <c r="D9" s="18" t="n">
        <v>3500</v>
      </c>
      <c r="E9" s="19" t="n">
        <v>1274000000</v>
      </c>
    </row>
    <row r="10">
      <c r="A10" s="2" t="inlineStr">
        <is>
          <t>20K-50K</t>
        </is>
      </c>
      <c r="B10" s="17" t="n">
        <v>19</v>
      </c>
      <c r="C10" s="17" t="n">
        <v>31000</v>
      </c>
      <c r="D10" s="18" t="n">
        <v>4200</v>
      </c>
      <c r="E10" s="19" t="n">
        <v>2473800000</v>
      </c>
    </row>
    <row r="11">
      <c r="A11" s="2" t="inlineStr">
        <is>
          <t>50K-100K</t>
        </is>
      </c>
      <c r="B11" s="17" t="n">
        <v>6</v>
      </c>
      <c r="C11" s="17" t="n">
        <v>70000</v>
      </c>
      <c r="D11" s="18" t="n">
        <v>4800</v>
      </c>
      <c r="E11" s="19" t="n">
        <v>2016000000</v>
      </c>
    </row>
    <row r="12">
      <c r="A12" s="2" t="inlineStr">
        <is>
          <t>100K+</t>
        </is>
      </c>
      <c r="B12" s="17" t="n">
        <v>3</v>
      </c>
      <c r="C12" s="17" t="n">
        <v>220000</v>
      </c>
      <c r="D12" s="18" t="n">
        <v>7000</v>
      </c>
      <c r="E12" s="19" t="n">
        <v>4620000000</v>
      </c>
    </row>
    <row r="13">
      <c r="A13" s="8" t="inlineStr">
        <is>
          <t xml:space="preserve">  Municipalities subtotal</t>
        </is>
      </c>
      <c r="B13" s="20" t="n">
        <v>297</v>
      </c>
      <c r="C13" s="21" t="n"/>
      <c r="D13" s="21" t="n"/>
      <c r="E13" s="22" t="n">
        <v>11846000000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9</v>
      </c>
      <c r="C17" s="17" t="n">
        <v>2700</v>
      </c>
      <c r="D17" s="18" t="n">
        <v>3300</v>
      </c>
      <c r="E17" s="19" t="n">
        <v>80190000</v>
      </c>
    </row>
    <row r="18">
      <c r="A18" s="2" t="inlineStr">
        <is>
          <t>5K-10K</t>
        </is>
      </c>
      <c r="B18" s="17" t="n">
        <v>11</v>
      </c>
      <c r="C18" s="17" t="n">
        <v>7100</v>
      </c>
      <c r="D18" s="18" t="n">
        <v>2900</v>
      </c>
      <c r="E18" s="19" t="n">
        <v>226490000</v>
      </c>
    </row>
    <row r="19">
      <c r="A19" s="2" t="inlineStr">
        <is>
          <t>10K-20K</t>
        </is>
      </c>
      <c r="B19" s="17" t="n">
        <v>16</v>
      </c>
      <c r="C19" s="17" t="n">
        <v>14000</v>
      </c>
      <c r="D19" s="18" t="n">
        <v>2700</v>
      </c>
      <c r="E19" s="19" t="n">
        <v>604800000</v>
      </c>
    </row>
    <row r="20">
      <c r="A20" s="2" t="inlineStr">
        <is>
          <t>20K-50K</t>
        </is>
      </c>
      <c r="B20" s="17" t="n">
        <v>21</v>
      </c>
      <c r="C20" s="17" t="n">
        <v>31000</v>
      </c>
      <c r="D20" s="18" t="n">
        <v>2900</v>
      </c>
      <c r="E20" s="19" t="n">
        <v>1887900000</v>
      </c>
    </row>
    <row r="21">
      <c r="A21" s="2" t="inlineStr">
        <is>
          <t>50K-100K</t>
        </is>
      </c>
      <c r="B21" s="17" t="n">
        <v>12</v>
      </c>
      <c r="C21" s="17" t="n">
        <v>70000</v>
      </c>
      <c r="D21" s="18" t="n">
        <v>3200</v>
      </c>
      <c r="E21" s="19" t="n">
        <v>2688000000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467</v>
      </c>
      <c r="D26" s="18" t="n">
        <v>7600000</v>
      </c>
      <c r="E26" s="19" t="n">
        <v>3549200000</v>
      </c>
    </row>
    <row r="27">
      <c r="A27" s="8" t="inlineStr">
        <is>
          <t xml:space="preserve">  Special Districts subtotal</t>
        </is>
      </c>
      <c r="B27" s="20" t="n">
        <v>467</v>
      </c>
      <c r="C27" s="21" t="n"/>
      <c r="D27" s="21" t="n"/>
      <c r="E27" s="22" t="n">
        <v>3549200000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MO — Missouri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334</v>
      </c>
      <c r="C6" s="17" t="n">
        <v>450</v>
      </c>
      <c r="D6" s="18" t="n">
        <v>2000</v>
      </c>
      <c r="E6" s="19" t="n">
        <v>300600000</v>
      </c>
    </row>
    <row r="7">
      <c r="A7" s="2" t="inlineStr">
        <is>
          <t>1K-5K</t>
        </is>
      </c>
      <c r="B7" s="17" t="n">
        <v>286</v>
      </c>
      <c r="C7" s="17" t="n">
        <v>2700</v>
      </c>
      <c r="D7" s="18" t="n">
        <v>2500</v>
      </c>
      <c r="E7" s="19" t="n">
        <v>1930500000</v>
      </c>
    </row>
    <row r="8">
      <c r="A8" s="2" t="inlineStr">
        <is>
          <t>5K-10K</t>
        </is>
      </c>
      <c r="B8" s="17" t="n">
        <v>115</v>
      </c>
      <c r="C8" s="17" t="n">
        <v>7100</v>
      </c>
      <c r="D8" s="18" t="n">
        <v>3000</v>
      </c>
      <c r="E8" s="19" t="n">
        <v>2449500000</v>
      </c>
    </row>
    <row r="9">
      <c r="A9" s="2" t="inlineStr">
        <is>
          <t>10K-20K</t>
        </is>
      </c>
      <c r="B9" s="17" t="n">
        <v>95</v>
      </c>
      <c r="C9" s="17" t="n">
        <v>14000</v>
      </c>
      <c r="D9" s="18" t="n">
        <v>3500</v>
      </c>
      <c r="E9" s="19" t="n">
        <v>4655000000</v>
      </c>
    </row>
    <row r="10">
      <c r="A10" s="2" t="inlineStr">
        <is>
          <t>20K-50K</t>
        </is>
      </c>
      <c r="B10" s="17" t="n">
        <v>76</v>
      </c>
      <c r="C10" s="17" t="n">
        <v>31000</v>
      </c>
      <c r="D10" s="18" t="n">
        <v>4200</v>
      </c>
      <c r="E10" s="19" t="n">
        <v>9895200000</v>
      </c>
    </row>
    <row r="11">
      <c r="A11" s="2" t="inlineStr">
        <is>
          <t>50K-100K</t>
        </is>
      </c>
      <c r="B11" s="17" t="n">
        <v>29</v>
      </c>
      <c r="C11" s="17" t="n">
        <v>70000</v>
      </c>
      <c r="D11" s="18" t="n">
        <v>4800</v>
      </c>
      <c r="E11" s="19" t="n">
        <v>9744000000</v>
      </c>
    </row>
    <row r="12">
      <c r="A12" s="2" t="inlineStr">
        <is>
          <t>100K+</t>
        </is>
      </c>
      <c r="B12" s="17" t="n">
        <v>19</v>
      </c>
      <c r="C12" s="17" t="n">
        <v>220000</v>
      </c>
      <c r="D12" s="18" t="n">
        <v>7000</v>
      </c>
      <c r="E12" s="19" t="n">
        <v>29260000000</v>
      </c>
    </row>
    <row r="13">
      <c r="A13" s="8" t="inlineStr">
        <is>
          <t xml:space="preserve">  Municipalities subtotal</t>
        </is>
      </c>
      <c r="B13" s="20" t="n">
        <v>954</v>
      </c>
      <c r="C13" s="21" t="n"/>
      <c r="D13" s="21" t="n"/>
      <c r="E13" s="22" t="n">
        <v>58234800000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9</v>
      </c>
      <c r="C17" s="17" t="n">
        <v>2700</v>
      </c>
      <c r="D17" s="18" t="n">
        <v>3300</v>
      </c>
      <c r="E17" s="19" t="n">
        <v>80190000</v>
      </c>
    </row>
    <row r="18">
      <c r="A18" s="2" t="inlineStr">
        <is>
          <t>5K-10K</t>
        </is>
      </c>
      <c r="B18" s="17" t="n">
        <v>13</v>
      </c>
      <c r="C18" s="17" t="n">
        <v>7100</v>
      </c>
      <c r="D18" s="18" t="n">
        <v>2900</v>
      </c>
      <c r="E18" s="19" t="n">
        <v>267670000</v>
      </c>
    </row>
    <row r="19">
      <c r="A19" s="2" t="inlineStr">
        <is>
          <t>10K-20K</t>
        </is>
      </c>
      <c r="B19" s="17" t="n">
        <v>19</v>
      </c>
      <c r="C19" s="17" t="n">
        <v>14000</v>
      </c>
      <c r="D19" s="18" t="n">
        <v>2700</v>
      </c>
      <c r="E19" s="19" t="n">
        <v>718200000</v>
      </c>
    </row>
    <row r="20">
      <c r="A20" s="2" t="inlineStr">
        <is>
          <t>20K-50K</t>
        </is>
      </c>
      <c r="B20" s="17" t="n">
        <v>30</v>
      </c>
      <c r="C20" s="17" t="n">
        <v>31000</v>
      </c>
      <c r="D20" s="18" t="n">
        <v>2900</v>
      </c>
      <c r="E20" s="19" t="n">
        <v>2697000000</v>
      </c>
    </row>
    <row r="21">
      <c r="A21" s="2" t="inlineStr">
        <is>
          <t>50K-100K</t>
        </is>
      </c>
      <c r="B21" s="17" t="n">
        <v>19</v>
      </c>
      <c r="C21" s="17" t="n">
        <v>70000</v>
      </c>
      <c r="D21" s="18" t="n">
        <v>3200</v>
      </c>
      <c r="E21" s="19" t="n">
        <v>4256000000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156</v>
      </c>
      <c r="C26" s="17" t="n">
        <v>450</v>
      </c>
      <c r="D26" s="18" t="n">
        <v>600</v>
      </c>
      <c r="E26" s="19" t="n">
        <v>42120000</v>
      </c>
    </row>
    <row r="27">
      <c r="A27" s="2" t="inlineStr">
        <is>
          <t>1K-5K</t>
        </is>
      </c>
      <c r="B27" s="17" t="n">
        <v>100</v>
      </c>
      <c r="C27" s="17" t="n">
        <v>2700</v>
      </c>
      <c r="D27" s="18" t="n">
        <v>800</v>
      </c>
      <c r="E27" s="19" t="n">
        <v>216000000</v>
      </c>
    </row>
    <row r="28">
      <c r="A28" s="2" t="inlineStr">
        <is>
          <t>5K-10K</t>
        </is>
      </c>
      <c r="B28" s="17" t="n">
        <v>28</v>
      </c>
      <c r="C28" s="17" t="n">
        <v>7100</v>
      </c>
      <c r="D28" s="18" t="n">
        <v>1100</v>
      </c>
      <c r="E28" s="19" t="n">
        <v>218680000</v>
      </c>
    </row>
    <row r="29">
      <c r="A29" s="2" t="inlineStr">
        <is>
          <t>10K-20K</t>
        </is>
      </c>
      <c r="B29" s="17" t="n">
        <v>16</v>
      </c>
      <c r="C29" s="17" t="n">
        <v>14000</v>
      </c>
      <c r="D29" s="18" t="n">
        <v>1400</v>
      </c>
      <c r="E29" s="19" t="n">
        <v>313600000</v>
      </c>
    </row>
    <row r="30">
      <c r="A30" s="2" t="inlineStr">
        <is>
          <t>20K-50K</t>
        </is>
      </c>
      <c r="B30" s="17" t="n">
        <v>9</v>
      </c>
      <c r="C30" s="17" t="n">
        <v>31000</v>
      </c>
      <c r="D30" s="18" t="n">
        <v>1600</v>
      </c>
      <c r="E30" s="19" t="n">
        <v>446400000</v>
      </c>
    </row>
    <row r="31">
      <c r="A31" s="2" t="inlineStr">
        <is>
          <t>50K-100K</t>
        </is>
      </c>
      <c r="B31" s="17" t="n">
        <v>3</v>
      </c>
      <c r="C31" s="17" t="n">
        <v>70000</v>
      </c>
      <c r="D31" s="18" t="n">
        <v>1700</v>
      </c>
      <c r="E31" s="19" t="n">
        <v>357000000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312</v>
      </c>
      <c r="C33" s="21" t="n"/>
      <c r="D33" s="21" t="n"/>
      <c r="E33" s="22" t="n">
        <v>1593800000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1620</v>
      </c>
      <c r="D36" s="18" t="n">
        <v>7600000</v>
      </c>
      <c r="E36" s="19" t="n">
        <v>12312000000</v>
      </c>
    </row>
    <row r="37">
      <c r="A37" s="8" t="inlineStr">
        <is>
          <t xml:space="preserve">  Special Districts subtotal</t>
        </is>
      </c>
      <c r="B37" s="20" t="n">
        <v>1620</v>
      </c>
      <c r="C37" s="21" t="n"/>
      <c r="D37" s="21" t="n"/>
      <c r="E37" s="22" t="n">
        <v>12312000000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MT — Montana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57</v>
      </c>
      <c r="C6" s="17" t="n">
        <v>450</v>
      </c>
      <c r="D6" s="18" t="n">
        <v>2000</v>
      </c>
      <c r="E6" s="19" t="n">
        <v>51300000</v>
      </c>
    </row>
    <row r="7">
      <c r="A7" s="2" t="inlineStr">
        <is>
          <t>1K-5K</t>
        </is>
      </c>
      <c r="B7" s="17" t="n">
        <v>41</v>
      </c>
      <c r="C7" s="17" t="n">
        <v>2700</v>
      </c>
      <c r="D7" s="18" t="n">
        <v>2500</v>
      </c>
      <c r="E7" s="19" t="n">
        <v>276750000</v>
      </c>
    </row>
    <row r="8">
      <c r="A8" s="2" t="inlineStr">
        <is>
          <t>5K-10K</t>
        </is>
      </c>
      <c r="B8" s="17" t="n">
        <v>13</v>
      </c>
      <c r="C8" s="17" t="n">
        <v>7100</v>
      </c>
      <c r="D8" s="18" t="n">
        <v>3000</v>
      </c>
      <c r="E8" s="19" t="n">
        <v>276900000</v>
      </c>
    </row>
    <row r="9">
      <c r="A9" s="2" t="inlineStr">
        <is>
          <t>10K-20K</t>
        </is>
      </c>
      <c r="B9" s="17" t="n">
        <v>9</v>
      </c>
      <c r="C9" s="17" t="n">
        <v>14000</v>
      </c>
      <c r="D9" s="18" t="n">
        <v>3500</v>
      </c>
      <c r="E9" s="19" t="n">
        <v>441000000</v>
      </c>
    </row>
    <row r="10">
      <c r="A10" s="2" t="inlineStr">
        <is>
          <t>20K-50K</t>
        </is>
      </c>
      <c r="B10" s="17" t="n">
        <v>5</v>
      </c>
      <c r="C10" s="17" t="n">
        <v>31000</v>
      </c>
      <c r="D10" s="18" t="n">
        <v>4200</v>
      </c>
      <c r="E10" s="19" t="n">
        <v>651000000</v>
      </c>
    </row>
    <row r="11">
      <c r="A11" s="2" t="inlineStr">
        <is>
          <t>50K-100K</t>
        </is>
      </c>
      <c r="B11" s="17" t="n">
        <v>1</v>
      </c>
      <c r="C11" s="17" t="n">
        <v>70000</v>
      </c>
      <c r="D11" s="18" t="n">
        <v>4800</v>
      </c>
      <c r="E11" s="19" t="n">
        <v>336000000</v>
      </c>
    </row>
    <row r="12">
      <c r="A12" s="2" t="inlineStr">
        <is>
          <t>100K+</t>
        </is>
      </c>
      <c r="B12" s="17" t="n">
        <v>1</v>
      </c>
      <c r="C12" s="17" t="n">
        <v>220000</v>
      </c>
      <c r="D12" s="18" t="n">
        <v>7000</v>
      </c>
      <c r="E12" s="19" t="n">
        <v>1540000000</v>
      </c>
    </row>
    <row r="13">
      <c r="A13" s="8" t="inlineStr">
        <is>
          <t xml:space="preserve">  Municipalities subtotal</t>
        </is>
      </c>
      <c r="B13" s="20" t="n">
        <v>127</v>
      </c>
      <c r="C13" s="21" t="n"/>
      <c r="D13" s="21" t="n"/>
      <c r="E13" s="22" t="n">
        <v>3572950000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8</v>
      </c>
      <c r="C17" s="17" t="n">
        <v>2700</v>
      </c>
      <c r="D17" s="18" t="n">
        <v>3300</v>
      </c>
      <c r="E17" s="19" t="n">
        <v>71280000</v>
      </c>
    </row>
    <row r="18">
      <c r="A18" s="2" t="inlineStr">
        <is>
          <t>5K-10K</t>
        </is>
      </c>
      <c r="B18" s="17" t="n">
        <v>9</v>
      </c>
      <c r="C18" s="17" t="n">
        <v>7100</v>
      </c>
      <c r="D18" s="18" t="n">
        <v>2900</v>
      </c>
      <c r="E18" s="19" t="n">
        <v>185310000</v>
      </c>
    </row>
    <row r="19">
      <c r="A19" s="2" t="inlineStr">
        <is>
          <t>10K-20K</t>
        </is>
      </c>
      <c r="B19" s="17" t="n">
        <v>12</v>
      </c>
      <c r="C19" s="17" t="n">
        <v>14000</v>
      </c>
      <c r="D19" s="18" t="n">
        <v>2700</v>
      </c>
      <c r="E19" s="19" t="n">
        <v>453600000</v>
      </c>
    </row>
    <row r="20">
      <c r="A20" s="2" t="inlineStr">
        <is>
          <t>20K-50K</t>
        </is>
      </c>
      <c r="B20" s="17" t="n">
        <v>13</v>
      </c>
      <c r="C20" s="17" t="n">
        <v>31000</v>
      </c>
      <c r="D20" s="18" t="n">
        <v>2900</v>
      </c>
      <c r="E20" s="19" t="n">
        <v>1168700000</v>
      </c>
    </row>
    <row r="21">
      <c r="A21" s="2" t="inlineStr">
        <is>
          <t>50K-100K</t>
        </is>
      </c>
      <c r="B21" s="17" t="n">
        <v>6</v>
      </c>
      <c r="C21" s="17" t="n">
        <v>70000</v>
      </c>
      <c r="D21" s="18" t="n">
        <v>3200</v>
      </c>
      <c r="E21" s="19" t="n">
        <v>1344000000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813</v>
      </c>
      <c r="D26" s="18" t="n">
        <v>7600000</v>
      </c>
      <c r="E26" s="19" t="n">
        <v>6178800000</v>
      </c>
    </row>
    <row r="27">
      <c r="A27" s="8" t="inlineStr">
        <is>
          <t xml:space="preserve">  Special Districts subtotal</t>
        </is>
      </c>
      <c r="B27" s="20" t="n">
        <v>813</v>
      </c>
      <c r="C27" s="21" t="n"/>
      <c r="D27" s="21" t="n"/>
      <c r="E27" s="22" t="n">
        <v>6178800000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NE — Nebraska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237</v>
      </c>
      <c r="C6" s="17" t="n">
        <v>450</v>
      </c>
      <c r="D6" s="18" t="n">
        <v>2000</v>
      </c>
      <c r="E6" s="19" t="n">
        <v>213300000</v>
      </c>
    </row>
    <row r="7">
      <c r="A7" s="2" t="inlineStr">
        <is>
          <t>1K-5K</t>
        </is>
      </c>
      <c r="B7" s="17" t="n">
        <v>170</v>
      </c>
      <c r="C7" s="17" t="n">
        <v>2700</v>
      </c>
      <c r="D7" s="18" t="n">
        <v>2500</v>
      </c>
      <c r="E7" s="19" t="n">
        <v>1147500000</v>
      </c>
    </row>
    <row r="8">
      <c r="A8" s="2" t="inlineStr">
        <is>
          <t>5K-10K</t>
        </is>
      </c>
      <c r="B8" s="17" t="n">
        <v>55</v>
      </c>
      <c r="C8" s="17" t="n">
        <v>7100</v>
      </c>
      <c r="D8" s="18" t="n">
        <v>3000</v>
      </c>
      <c r="E8" s="19" t="n">
        <v>1171500000</v>
      </c>
    </row>
    <row r="9">
      <c r="A9" s="2" t="inlineStr">
        <is>
          <t>10K-20K</t>
        </is>
      </c>
      <c r="B9" s="17" t="n">
        <v>37</v>
      </c>
      <c r="C9" s="17" t="n">
        <v>14000</v>
      </c>
      <c r="D9" s="18" t="n">
        <v>3500</v>
      </c>
      <c r="E9" s="19" t="n">
        <v>1813000000</v>
      </c>
    </row>
    <row r="10">
      <c r="A10" s="2" t="inlineStr">
        <is>
          <t>20K-50K</t>
        </is>
      </c>
      <c r="B10" s="17" t="n">
        <v>23</v>
      </c>
      <c r="C10" s="17" t="n">
        <v>31000</v>
      </c>
      <c r="D10" s="18" t="n">
        <v>4200</v>
      </c>
      <c r="E10" s="19" t="n">
        <v>2994600000</v>
      </c>
    </row>
    <row r="11">
      <c r="A11" s="2" t="inlineStr">
        <is>
          <t>50K-100K</t>
        </is>
      </c>
      <c r="B11" s="17" t="n">
        <v>6</v>
      </c>
      <c r="C11" s="17" t="n">
        <v>70000</v>
      </c>
      <c r="D11" s="18" t="n">
        <v>4800</v>
      </c>
      <c r="E11" s="19" t="n">
        <v>2016000000</v>
      </c>
    </row>
    <row r="12">
      <c r="A12" s="2" t="inlineStr">
        <is>
          <t>100K+</t>
        </is>
      </c>
      <c r="B12" s="17" t="n">
        <v>2</v>
      </c>
      <c r="C12" s="17" t="n">
        <v>220000</v>
      </c>
      <c r="D12" s="18" t="n">
        <v>7000</v>
      </c>
      <c r="E12" s="19" t="n">
        <v>3080000000</v>
      </c>
    </row>
    <row r="13">
      <c r="A13" s="8" t="inlineStr">
        <is>
          <t xml:space="preserve">  Municipalities subtotal</t>
        </is>
      </c>
      <c r="B13" s="20" t="n">
        <v>530</v>
      </c>
      <c r="C13" s="21" t="n"/>
      <c r="D13" s="21" t="n"/>
      <c r="E13" s="22" t="n">
        <v>12435900000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2</v>
      </c>
      <c r="C16" s="17" t="n">
        <v>450</v>
      </c>
      <c r="D16" s="18" t="n">
        <v>3500</v>
      </c>
      <c r="E16" s="19" t="n">
        <v>3150000</v>
      </c>
    </row>
    <row r="17">
      <c r="A17" s="2" t="inlineStr">
        <is>
          <t>1K-5K</t>
        </is>
      </c>
      <c r="B17" s="17" t="n">
        <v>14</v>
      </c>
      <c r="C17" s="17" t="n">
        <v>2700</v>
      </c>
      <c r="D17" s="18" t="n">
        <v>3300</v>
      </c>
      <c r="E17" s="19" t="n">
        <v>124740000</v>
      </c>
    </row>
    <row r="18">
      <c r="A18" s="2" t="inlineStr">
        <is>
          <t>5K-10K</t>
        </is>
      </c>
      <c r="B18" s="17" t="n">
        <v>16</v>
      </c>
      <c r="C18" s="17" t="n">
        <v>7100</v>
      </c>
      <c r="D18" s="18" t="n">
        <v>2900</v>
      </c>
      <c r="E18" s="19" t="n">
        <v>329440000</v>
      </c>
    </row>
    <row r="19">
      <c r="A19" s="2" t="inlineStr">
        <is>
          <t>10K-20K</t>
        </is>
      </c>
      <c r="B19" s="17" t="n">
        <v>20</v>
      </c>
      <c r="C19" s="17" t="n">
        <v>14000</v>
      </c>
      <c r="D19" s="18" t="n">
        <v>2700</v>
      </c>
      <c r="E19" s="19" t="n">
        <v>756000000</v>
      </c>
    </row>
    <row r="20">
      <c r="A20" s="2" t="inlineStr">
        <is>
          <t>20K-50K</t>
        </is>
      </c>
      <c r="B20" s="17" t="n">
        <v>23</v>
      </c>
      <c r="C20" s="17" t="n">
        <v>31000</v>
      </c>
      <c r="D20" s="18" t="n">
        <v>2900</v>
      </c>
      <c r="E20" s="19" t="n">
        <v>2067700000</v>
      </c>
    </row>
    <row r="21">
      <c r="A21" s="2" t="inlineStr">
        <is>
          <t>50K-100K</t>
        </is>
      </c>
      <c r="B21" s="17" t="n">
        <v>10</v>
      </c>
      <c r="C21" s="17" t="n">
        <v>70000</v>
      </c>
      <c r="D21" s="18" t="n">
        <v>3200</v>
      </c>
      <c r="E21" s="19" t="n">
        <v>2240000000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238</v>
      </c>
      <c r="C26" s="17" t="n">
        <v>450</v>
      </c>
      <c r="D26" s="18" t="n">
        <v>600</v>
      </c>
      <c r="E26" s="19" t="n">
        <v>64260000</v>
      </c>
    </row>
    <row r="27">
      <c r="A27" s="2" t="inlineStr">
        <is>
          <t>1K-5K</t>
        </is>
      </c>
      <c r="B27" s="17" t="n">
        <v>128</v>
      </c>
      <c r="C27" s="17" t="n">
        <v>2700</v>
      </c>
      <c r="D27" s="18" t="n">
        <v>800</v>
      </c>
      <c r="E27" s="19" t="n">
        <v>276480000</v>
      </c>
    </row>
    <row r="28">
      <c r="A28" s="2" t="inlineStr">
        <is>
          <t>5K-10K</t>
        </is>
      </c>
      <c r="B28" s="17" t="n">
        <v>29</v>
      </c>
      <c r="C28" s="17" t="n">
        <v>7100</v>
      </c>
      <c r="D28" s="18" t="n">
        <v>1100</v>
      </c>
      <c r="E28" s="19" t="n">
        <v>226490000</v>
      </c>
    </row>
    <row r="29">
      <c r="A29" s="2" t="inlineStr">
        <is>
          <t>10K-20K</t>
        </is>
      </c>
      <c r="B29" s="17" t="n">
        <v>13</v>
      </c>
      <c r="C29" s="17" t="n">
        <v>14000</v>
      </c>
      <c r="D29" s="18" t="n">
        <v>1400</v>
      </c>
      <c r="E29" s="19" t="n">
        <v>254800000</v>
      </c>
    </row>
    <row r="30">
      <c r="A30" s="2" t="inlineStr">
        <is>
          <t>20K-50K</t>
        </is>
      </c>
      <c r="B30" s="17" t="n">
        <v>6</v>
      </c>
      <c r="C30" s="17" t="n">
        <v>31000</v>
      </c>
      <c r="D30" s="18" t="n">
        <v>1600</v>
      </c>
      <c r="E30" s="19" t="n">
        <v>297600000</v>
      </c>
    </row>
    <row r="31">
      <c r="A31" s="2" t="inlineStr">
        <is>
          <t>50K-100K</t>
        </is>
      </c>
      <c r="B31" s="17" t="n">
        <v>1</v>
      </c>
      <c r="C31" s="17" t="n">
        <v>70000</v>
      </c>
      <c r="D31" s="18" t="n">
        <v>1700</v>
      </c>
      <c r="E31" s="19" t="n">
        <v>119000000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415</v>
      </c>
      <c r="C33" s="21" t="n"/>
      <c r="D33" s="21" t="n"/>
      <c r="E33" s="22" t="n">
        <v>1238630000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1300</v>
      </c>
      <c r="D36" s="18" t="n">
        <v>7600000</v>
      </c>
      <c r="E36" s="19" t="n">
        <v>9880000000</v>
      </c>
    </row>
    <row r="37">
      <c r="A37" s="8" t="inlineStr">
        <is>
          <t xml:space="preserve">  Special Districts subtotal</t>
        </is>
      </c>
      <c r="B37" s="20" t="n">
        <v>1300</v>
      </c>
      <c r="C37" s="21" t="n"/>
      <c r="D37" s="21" t="n"/>
      <c r="E37" s="22" t="n">
        <v>9880000000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NV — Nevada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6</v>
      </c>
      <c r="C6" s="17" t="n">
        <v>450</v>
      </c>
      <c r="D6" s="18" t="n">
        <v>2000</v>
      </c>
      <c r="E6" s="19" t="n">
        <v>5400000</v>
      </c>
    </row>
    <row r="7">
      <c r="A7" s="2" t="inlineStr">
        <is>
          <t>1K-5K</t>
        </is>
      </c>
      <c r="B7" s="17" t="n">
        <v>5</v>
      </c>
      <c r="C7" s="17" t="n">
        <v>2700</v>
      </c>
      <c r="D7" s="18" t="n">
        <v>2500</v>
      </c>
      <c r="E7" s="19" t="n">
        <v>33750000</v>
      </c>
    </row>
    <row r="8">
      <c r="A8" s="2" t="inlineStr">
        <is>
          <t>5K-10K</t>
        </is>
      </c>
      <c r="B8" s="17" t="n">
        <v>2</v>
      </c>
      <c r="C8" s="17" t="n">
        <v>7100</v>
      </c>
      <c r="D8" s="18" t="n">
        <v>3000</v>
      </c>
      <c r="E8" s="19" t="n">
        <v>42600000</v>
      </c>
    </row>
    <row r="9">
      <c r="A9" s="2" t="inlineStr">
        <is>
          <t>10K-20K</t>
        </is>
      </c>
      <c r="B9" s="17" t="n">
        <v>2</v>
      </c>
      <c r="C9" s="17" t="n">
        <v>14000</v>
      </c>
      <c r="D9" s="18" t="n">
        <v>3500</v>
      </c>
      <c r="E9" s="19" t="n">
        <v>98000000</v>
      </c>
    </row>
    <row r="10">
      <c r="A10" s="2" t="inlineStr">
        <is>
          <t>20K-50K</t>
        </is>
      </c>
      <c r="B10" s="17" t="n">
        <v>2</v>
      </c>
      <c r="C10" s="17" t="n">
        <v>31000</v>
      </c>
      <c r="D10" s="18" t="n">
        <v>4200</v>
      </c>
      <c r="E10" s="19" t="n">
        <v>260400000</v>
      </c>
    </row>
    <row r="11">
      <c r="A11" s="2" t="inlineStr">
        <is>
          <t>50K-100K</t>
        </is>
      </c>
      <c r="B11" s="17" t="n">
        <v>1</v>
      </c>
      <c r="C11" s="17" t="n">
        <v>70000</v>
      </c>
      <c r="D11" s="18" t="n">
        <v>4800</v>
      </c>
      <c r="E11" s="19" t="n">
        <v>336000000</v>
      </c>
    </row>
    <row r="12">
      <c r="A12" s="2" t="inlineStr">
        <is>
          <t>100K+</t>
        </is>
      </c>
      <c r="B12" s="17" t="n">
        <v>1</v>
      </c>
      <c r="C12" s="17" t="n">
        <v>220000</v>
      </c>
      <c r="D12" s="18" t="n">
        <v>7000</v>
      </c>
      <c r="E12" s="19" t="n">
        <v>1540000000</v>
      </c>
    </row>
    <row r="13">
      <c r="A13" s="8" t="inlineStr">
        <is>
          <t xml:space="preserve">  Municipalities subtotal</t>
        </is>
      </c>
      <c r="B13" s="20" t="n">
        <v>19</v>
      </c>
      <c r="C13" s="21" t="n"/>
      <c r="D13" s="21" t="n"/>
      <c r="E13" s="22" t="n">
        <v>2316150000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1</v>
      </c>
      <c r="C17" s="17" t="n">
        <v>2700</v>
      </c>
      <c r="D17" s="18" t="n">
        <v>3300</v>
      </c>
      <c r="E17" s="19" t="n">
        <v>8910000</v>
      </c>
    </row>
    <row r="18">
      <c r="A18" s="2" t="inlineStr">
        <is>
          <t>5K-10K</t>
        </is>
      </c>
      <c r="B18" s="17" t="n">
        <v>2</v>
      </c>
      <c r="C18" s="17" t="n">
        <v>7100</v>
      </c>
      <c r="D18" s="18" t="n">
        <v>2900</v>
      </c>
      <c r="E18" s="19" t="n">
        <v>41180000</v>
      </c>
    </row>
    <row r="19">
      <c r="A19" s="2" t="inlineStr">
        <is>
          <t>10K-20K</t>
        </is>
      </c>
      <c r="B19" s="17" t="n">
        <v>2</v>
      </c>
      <c r="C19" s="17" t="n">
        <v>14000</v>
      </c>
      <c r="D19" s="18" t="n">
        <v>2700</v>
      </c>
      <c r="E19" s="19" t="n">
        <v>75600000</v>
      </c>
    </row>
    <row r="20">
      <c r="A20" s="2" t="inlineStr">
        <is>
          <t>20K-50K</t>
        </is>
      </c>
      <c r="B20" s="17" t="n">
        <v>4</v>
      </c>
      <c r="C20" s="17" t="n">
        <v>31000</v>
      </c>
      <c r="D20" s="18" t="n">
        <v>2900</v>
      </c>
      <c r="E20" s="19" t="n">
        <v>359600000</v>
      </c>
    </row>
    <row r="21">
      <c r="A21" s="2" t="inlineStr">
        <is>
          <t>50K-100K</t>
        </is>
      </c>
      <c r="B21" s="17" t="n">
        <v>3</v>
      </c>
      <c r="C21" s="17" t="n">
        <v>70000</v>
      </c>
      <c r="D21" s="18" t="n">
        <v>3200</v>
      </c>
      <c r="E21" s="19" t="n">
        <v>672000000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175</v>
      </c>
      <c r="D26" s="18" t="n">
        <v>7600000</v>
      </c>
      <c r="E26" s="19" t="n">
        <v>1330000000</v>
      </c>
    </row>
    <row r="27">
      <c r="A27" s="8" t="inlineStr">
        <is>
          <t xml:space="preserve">  Special Districts subtotal</t>
        </is>
      </c>
      <c r="B27" s="20" t="n">
        <v>175</v>
      </c>
      <c r="C27" s="21" t="n"/>
      <c r="D27" s="21" t="n"/>
      <c r="E27" s="22" t="n">
        <v>1330000000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NH — New Hampshire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5</v>
      </c>
      <c r="C6" s="17" t="n">
        <v>450</v>
      </c>
      <c r="D6" s="18" t="n">
        <v>2000</v>
      </c>
      <c r="E6" s="19" t="n">
        <v>4500000</v>
      </c>
    </row>
    <row r="7">
      <c r="A7" s="2" t="inlineStr">
        <is>
          <t>1K-5K</t>
        </is>
      </c>
      <c r="B7" s="17" t="n">
        <v>4</v>
      </c>
      <c r="C7" s="17" t="n">
        <v>2700</v>
      </c>
      <c r="D7" s="18" t="n">
        <v>2500</v>
      </c>
      <c r="E7" s="19" t="n">
        <v>27000000</v>
      </c>
    </row>
    <row r="8">
      <c r="A8" s="2" t="inlineStr">
        <is>
          <t>5K-10K</t>
        </is>
      </c>
      <c r="B8" s="17" t="n">
        <v>2</v>
      </c>
      <c r="C8" s="17" t="n">
        <v>7100</v>
      </c>
      <c r="D8" s="18" t="n">
        <v>3000</v>
      </c>
      <c r="E8" s="19" t="n">
        <v>42600000</v>
      </c>
    </row>
    <row r="9">
      <c r="A9" s="2" t="inlineStr">
        <is>
          <t>10K-20K</t>
        </is>
      </c>
      <c r="B9" s="17" t="n">
        <v>1</v>
      </c>
      <c r="C9" s="17" t="n">
        <v>14000</v>
      </c>
      <c r="D9" s="18" t="n">
        <v>3500</v>
      </c>
      <c r="E9" s="19" t="n">
        <v>49000000</v>
      </c>
    </row>
    <row r="10">
      <c r="A10" s="2" t="inlineStr">
        <is>
          <t>20K-50K</t>
        </is>
      </c>
      <c r="B10" s="17" t="n">
        <v>1</v>
      </c>
      <c r="C10" s="17" t="n">
        <v>31000</v>
      </c>
      <c r="D10" s="18" t="n">
        <v>4200</v>
      </c>
      <c r="E10" s="19" t="n">
        <v>130200000</v>
      </c>
    </row>
    <row r="11">
      <c r="A11" s="2" t="inlineStr">
        <is>
          <t>50K-100K</t>
        </is>
      </c>
      <c r="B11" s="17" t="n">
        <v>0</v>
      </c>
      <c r="C11" s="17" t="n">
        <v>70000</v>
      </c>
      <c r="D11" s="18" t="n">
        <v>4800</v>
      </c>
      <c r="E11" s="19" t="n">
        <v>0</v>
      </c>
    </row>
    <row r="12">
      <c r="A12" s="2" t="inlineStr">
        <is>
          <t>100K+</t>
        </is>
      </c>
      <c r="B12" s="17" t="n">
        <v>0</v>
      </c>
      <c r="C12" s="17" t="n">
        <v>220000</v>
      </c>
      <c r="D12" s="18" t="n">
        <v>7000</v>
      </c>
      <c r="E12" s="19" t="n">
        <v>0</v>
      </c>
    </row>
    <row r="13">
      <c r="A13" s="8" t="inlineStr">
        <is>
          <t xml:space="preserve">  Municipalities subtotal</t>
        </is>
      </c>
      <c r="B13" s="20" t="n">
        <v>13</v>
      </c>
      <c r="C13" s="21" t="n"/>
      <c r="D13" s="21" t="n"/>
      <c r="E13" s="22" t="n">
        <v>253300000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1</v>
      </c>
      <c r="C17" s="17" t="n">
        <v>2700</v>
      </c>
      <c r="D17" s="18" t="n">
        <v>3300</v>
      </c>
      <c r="E17" s="19" t="n">
        <v>8910000</v>
      </c>
    </row>
    <row r="18">
      <c r="A18" s="2" t="inlineStr">
        <is>
          <t>5K-10K</t>
        </is>
      </c>
      <c r="B18" s="17" t="n">
        <v>1</v>
      </c>
      <c r="C18" s="17" t="n">
        <v>7100</v>
      </c>
      <c r="D18" s="18" t="n">
        <v>2900</v>
      </c>
      <c r="E18" s="19" t="n">
        <v>20590000</v>
      </c>
    </row>
    <row r="19">
      <c r="A19" s="2" t="inlineStr">
        <is>
          <t>10K-20K</t>
        </is>
      </c>
      <c r="B19" s="17" t="n">
        <v>2</v>
      </c>
      <c r="C19" s="17" t="n">
        <v>14000</v>
      </c>
      <c r="D19" s="18" t="n">
        <v>2700</v>
      </c>
      <c r="E19" s="19" t="n">
        <v>75600000</v>
      </c>
    </row>
    <row r="20">
      <c r="A20" s="2" t="inlineStr">
        <is>
          <t>20K-50K</t>
        </is>
      </c>
      <c r="B20" s="17" t="n">
        <v>3</v>
      </c>
      <c r="C20" s="17" t="n">
        <v>31000</v>
      </c>
      <c r="D20" s="18" t="n">
        <v>2900</v>
      </c>
      <c r="E20" s="19" t="n">
        <v>269700000</v>
      </c>
    </row>
    <row r="21">
      <c r="A21" s="2" t="inlineStr">
        <is>
          <t>50K-100K</t>
        </is>
      </c>
      <c r="B21" s="17" t="n">
        <v>2</v>
      </c>
      <c r="C21" s="17" t="n">
        <v>70000</v>
      </c>
      <c r="D21" s="18" t="n">
        <v>3200</v>
      </c>
      <c r="E21" s="19" t="n">
        <v>448000000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116</v>
      </c>
      <c r="C26" s="17" t="n">
        <v>450</v>
      </c>
      <c r="D26" s="18" t="n">
        <v>600</v>
      </c>
      <c r="E26" s="19" t="n">
        <v>31320000</v>
      </c>
    </row>
    <row r="27">
      <c r="A27" s="2" t="inlineStr">
        <is>
          <t>1K-5K</t>
        </is>
      </c>
      <c r="B27" s="17" t="n">
        <v>71</v>
      </c>
      <c r="C27" s="17" t="n">
        <v>2700</v>
      </c>
      <c r="D27" s="18" t="n">
        <v>800</v>
      </c>
      <c r="E27" s="19" t="n">
        <v>153360000</v>
      </c>
    </row>
    <row r="28">
      <c r="A28" s="2" t="inlineStr">
        <is>
          <t>5K-10K</t>
        </is>
      </c>
      <c r="B28" s="17" t="n">
        <v>18</v>
      </c>
      <c r="C28" s="17" t="n">
        <v>7100</v>
      </c>
      <c r="D28" s="18" t="n">
        <v>1100</v>
      </c>
      <c r="E28" s="19" t="n">
        <v>140580000</v>
      </c>
    </row>
    <row r="29">
      <c r="A29" s="2" t="inlineStr">
        <is>
          <t>10K-20K</t>
        </is>
      </c>
      <c r="B29" s="17" t="n">
        <v>9</v>
      </c>
      <c r="C29" s="17" t="n">
        <v>14000</v>
      </c>
      <c r="D29" s="18" t="n">
        <v>1400</v>
      </c>
      <c r="E29" s="19" t="n">
        <v>176400000</v>
      </c>
    </row>
    <row r="30">
      <c r="A30" s="2" t="inlineStr">
        <is>
          <t>20K-50K</t>
        </is>
      </c>
      <c r="B30" s="17" t="n">
        <v>5</v>
      </c>
      <c r="C30" s="17" t="n">
        <v>31000</v>
      </c>
      <c r="D30" s="18" t="n">
        <v>1600</v>
      </c>
      <c r="E30" s="19" t="n">
        <v>248000000</v>
      </c>
    </row>
    <row r="31">
      <c r="A31" s="2" t="inlineStr">
        <is>
          <t>50K-100K</t>
        </is>
      </c>
      <c r="B31" s="17" t="n">
        <v>2</v>
      </c>
      <c r="C31" s="17" t="n">
        <v>70000</v>
      </c>
      <c r="D31" s="18" t="n">
        <v>1700</v>
      </c>
      <c r="E31" s="19" t="n">
        <v>238000000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221</v>
      </c>
      <c r="C33" s="21" t="n"/>
      <c r="D33" s="21" t="n"/>
      <c r="E33" s="22" t="n">
        <v>987660000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142</v>
      </c>
      <c r="D36" s="18" t="n">
        <v>7600000</v>
      </c>
      <c r="E36" s="19" t="n">
        <v>1079200000</v>
      </c>
    </row>
    <row r="37">
      <c r="A37" s="8" t="inlineStr">
        <is>
          <t xml:space="preserve">  Special Districts subtotal</t>
        </is>
      </c>
      <c r="B37" s="20" t="n">
        <v>142</v>
      </c>
      <c r="C37" s="21" t="n"/>
      <c r="D37" s="21" t="n"/>
      <c r="E37" s="22" t="n">
        <v>1079200000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NJ — New Jersey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130</v>
      </c>
      <c r="C6" s="17" t="n">
        <v>450</v>
      </c>
      <c r="D6" s="18" t="n">
        <v>2000</v>
      </c>
      <c r="E6" s="19" t="n">
        <v>117000000</v>
      </c>
    </row>
    <row r="7">
      <c r="A7" s="2" t="inlineStr">
        <is>
          <t>1K-5K</t>
        </is>
      </c>
      <c r="B7" s="17" t="n">
        <v>142</v>
      </c>
      <c r="C7" s="17" t="n">
        <v>2700</v>
      </c>
      <c r="D7" s="18" t="n">
        <v>2500</v>
      </c>
      <c r="E7" s="19" t="n">
        <v>958500000</v>
      </c>
    </row>
    <row r="8">
      <c r="A8" s="2" t="inlineStr">
        <is>
          <t>5K-10K</t>
        </is>
      </c>
      <c r="B8" s="17" t="n">
        <v>73</v>
      </c>
      <c r="C8" s="17" t="n">
        <v>7100</v>
      </c>
      <c r="D8" s="18" t="n">
        <v>3000</v>
      </c>
      <c r="E8" s="19" t="n">
        <v>1554900000</v>
      </c>
    </row>
    <row r="9">
      <c r="A9" s="2" t="inlineStr">
        <is>
          <t>10K-20K</t>
        </is>
      </c>
      <c r="B9" s="17" t="n">
        <v>74</v>
      </c>
      <c r="C9" s="17" t="n">
        <v>14000</v>
      </c>
      <c r="D9" s="18" t="n">
        <v>3500</v>
      </c>
      <c r="E9" s="19" t="n">
        <v>3626000000</v>
      </c>
    </row>
    <row r="10">
      <c r="A10" s="2" t="inlineStr">
        <is>
          <t>20K-50K</t>
        </is>
      </c>
      <c r="B10" s="17" t="n">
        <v>79</v>
      </c>
      <c r="C10" s="17" t="n">
        <v>31000</v>
      </c>
      <c r="D10" s="18" t="n">
        <v>4200</v>
      </c>
      <c r="E10" s="19" t="n">
        <v>10285800000</v>
      </c>
    </row>
    <row r="11">
      <c r="A11" s="2" t="inlineStr">
        <is>
          <t>50K-100K</t>
        </is>
      </c>
      <c r="B11" s="17" t="n">
        <v>37</v>
      </c>
      <c r="C11" s="17" t="n">
        <v>70000</v>
      </c>
      <c r="D11" s="18" t="n">
        <v>4800</v>
      </c>
      <c r="E11" s="19" t="n">
        <v>12432000000</v>
      </c>
    </row>
    <row r="12">
      <c r="A12" s="2" t="inlineStr">
        <is>
          <t>100K+</t>
        </is>
      </c>
      <c r="B12" s="17" t="n">
        <v>30</v>
      </c>
      <c r="C12" s="17" t="n">
        <v>220000</v>
      </c>
      <c r="D12" s="18" t="n">
        <v>7000</v>
      </c>
      <c r="E12" s="19" t="n">
        <v>46200000000</v>
      </c>
    </row>
    <row r="13">
      <c r="A13" s="8" t="inlineStr">
        <is>
          <t xml:space="preserve">  Municipalities subtotal</t>
        </is>
      </c>
      <c r="B13" s="20" t="n">
        <v>565</v>
      </c>
      <c r="C13" s="21" t="n"/>
      <c r="D13" s="21" t="n"/>
      <c r="E13" s="22" t="n">
        <v>75174200000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1</v>
      </c>
      <c r="C17" s="17" t="n">
        <v>2700</v>
      </c>
      <c r="D17" s="18" t="n">
        <v>3300</v>
      </c>
      <c r="E17" s="19" t="n">
        <v>8910000</v>
      </c>
    </row>
    <row r="18">
      <c r="A18" s="2" t="inlineStr">
        <is>
          <t>5K-10K</t>
        </is>
      </c>
      <c r="B18" s="17" t="n">
        <v>2</v>
      </c>
      <c r="C18" s="17" t="n">
        <v>7100</v>
      </c>
      <c r="D18" s="18" t="n">
        <v>2900</v>
      </c>
      <c r="E18" s="19" t="n">
        <v>41180000</v>
      </c>
    </row>
    <row r="19">
      <c r="A19" s="2" t="inlineStr">
        <is>
          <t>10K-20K</t>
        </is>
      </c>
      <c r="B19" s="17" t="n">
        <v>3</v>
      </c>
      <c r="C19" s="17" t="n">
        <v>14000</v>
      </c>
      <c r="D19" s="18" t="n">
        <v>2700</v>
      </c>
      <c r="E19" s="19" t="n">
        <v>113400000</v>
      </c>
    </row>
    <row r="20">
      <c r="A20" s="2" t="inlineStr">
        <is>
          <t>20K-50K</t>
        </is>
      </c>
      <c r="B20" s="17" t="n">
        <v>5</v>
      </c>
      <c r="C20" s="17" t="n">
        <v>31000</v>
      </c>
      <c r="D20" s="18" t="n">
        <v>2900</v>
      </c>
      <c r="E20" s="19" t="n">
        <v>449500000</v>
      </c>
    </row>
    <row r="21">
      <c r="A21" s="2" t="inlineStr">
        <is>
          <t>50K-100K</t>
        </is>
      </c>
      <c r="B21" s="17" t="n">
        <v>4</v>
      </c>
      <c r="C21" s="17" t="n">
        <v>70000</v>
      </c>
      <c r="D21" s="18" t="n">
        <v>3200</v>
      </c>
      <c r="E21" s="19" t="n">
        <v>896000000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281</v>
      </c>
      <c r="D26" s="18" t="n">
        <v>7600000</v>
      </c>
      <c r="E26" s="19" t="n">
        <v>2135600000</v>
      </c>
    </row>
    <row r="27">
      <c r="A27" s="8" t="inlineStr">
        <is>
          <t xml:space="preserve">  Special Districts subtotal</t>
        </is>
      </c>
      <c r="B27" s="20" t="n">
        <v>281</v>
      </c>
      <c r="C27" s="21" t="n"/>
      <c r="D27" s="21" t="n"/>
      <c r="E27" s="22" t="n">
        <v>2135600000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NM — New Mexico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41</v>
      </c>
      <c r="C6" s="17" t="n">
        <v>450</v>
      </c>
      <c r="D6" s="18" t="n">
        <v>2000</v>
      </c>
      <c r="E6" s="19" t="n">
        <v>36900000</v>
      </c>
    </row>
    <row r="7">
      <c r="A7" s="2" t="inlineStr">
        <is>
          <t>1K-5K</t>
        </is>
      </c>
      <c r="B7" s="17" t="n">
        <v>33</v>
      </c>
      <c r="C7" s="17" t="n">
        <v>2700</v>
      </c>
      <c r="D7" s="18" t="n">
        <v>2500</v>
      </c>
      <c r="E7" s="19" t="n">
        <v>222750000</v>
      </c>
    </row>
    <row r="8">
      <c r="A8" s="2" t="inlineStr">
        <is>
          <t>5K-10K</t>
        </is>
      </c>
      <c r="B8" s="17" t="n">
        <v>12</v>
      </c>
      <c r="C8" s="17" t="n">
        <v>7100</v>
      </c>
      <c r="D8" s="18" t="n">
        <v>3000</v>
      </c>
      <c r="E8" s="19" t="n">
        <v>255600000</v>
      </c>
    </row>
    <row r="9">
      <c r="A9" s="2" t="inlineStr">
        <is>
          <t>10K-20K</t>
        </is>
      </c>
      <c r="B9" s="17" t="n">
        <v>9</v>
      </c>
      <c r="C9" s="17" t="n">
        <v>14000</v>
      </c>
      <c r="D9" s="18" t="n">
        <v>3500</v>
      </c>
      <c r="E9" s="19" t="n">
        <v>441000000</v>
      </c>
    </row>
    <row r="10">
      <c r="A10" s="2" t="inlineStr">
        <is>
          <t>20K-50K</t>
        </is>
      </c>
      <c r="B10" s="17" t="n">
        <v>7</v>
      </c>
      <c r="C10" s="17" t="n">
        <v>31000</v>
      </c>
      <c r="D10" s="18" t="n">
        <v>4200</v>
      </c>
      <c r="E10" s="19" t="n">
        <v>911400000</v>
      </c>
    </row>
    <row r="11">
      <c r="A11" s="2" t="inlineStr">
        <is>
          <t>50K-100K</t>
        </is>
      </c>
      <c r="B11" s="17" t="n">
        <v>2</v>
      </c>
      <c r="C11" s="17" t="n">
        <v>70000</v>
      </c>
      <c r="D11" s="18" t="n">
        <v>4800</v>
      </c>
      <c r="E11" s="19" t="n">
        <v>672000000</v>
      </c>
    </row>
    <row r="12">
      <c r="A12" s="2" t="inlineStr">
        <is>
          <t>100K+</t>
        </is>
      </c>
      <c r="B12" s="17" t="n">
        <v>1</v>
      </c>
      <c r="C12" s="17" t="n">
        <v>220000</v>
      </c>
      <c r="D12" s="18" t="n">
        <v>7000</v>
      </c>
      <c r="E12" s="19" t="n">
        <v>1540000000</v>
      </c>
    </row>
    <row r="13">
      <c r="A13" s="8" t="inlineStr">
        <is>
          <t xml:space="preserve">  Municipalities subtotal</t>
        </is>
      </c>
      <c r="B13" s="20" t="n">
        <v>105</v>
      </c>
      <c r="C13" s="21" t="n"/>
      <c r="D13" s="21" t="n"/>
      <c r="E13" s="22" t="n">
        <v>4079650000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4</v>
      </c>
      <c r="C17" s="17" t="n">
        <v>2700</v>
      </c>
      <c r="D17" s="18" t="n">
        <v>3300</v>
      </c>
      <c r="E17" s="19" t="n">
        <v>35640000</v>
      </c>
    </row>
    <row r="18">
      <c r="A18" s="2" t="inlineStr">
        <is>
          <t>5K-10K</t>
        </is>
      </c>
      <c r="B18" s="17" t="n">
        <v>4</v>
      </c>
      <c r="C18" s="17" t="n">
        <v>7100</v>
      </c>
      <c r="D18" s="18" t="n">
        <v>2900</v>
      </c>
      <c r="E18" s="19" t="n">
        <v>82360000</v>
      </c>
    </row>
    <row r="19">
      <c r="A19" s="2" t="inlineStr">
        <is>
          <t>10K-20K</t>
        </is>
      </c>
      <c r="B19" s="17" t="n">
        <v>6</v>
      </c>
      <c r="C19" s="17" t="n">
        <v>14000</v>
      </c>
      <c r="D19" s="18" t="n">
        <v>2700</v>
      </c>
      <c r="E19" s="19" t="n">
        <v>226800000</v>
      </c>
    </row>
    <row r="20">
      <c r="A20" s="2" t="inlineStr">
        <is>
          <t>20K-50K</t>
        </is>
      </c>
      <c r="B20" s="17" t="n">
        <v>9</v>
      </c>
      <c r="C20" s="17" t="n">
        <v>31000</v>
      </c>
      <c r="D20" s="18" t="n">
        <v>2900</v>
      </c>
      <c r="E20" s="19" t="n">
        <v>809100000</v>
      </c>
    </row>
    <row r="21">
      <c r="A21" s="2" t="inlineStr">
        <is>
          <t>50K-100K</t>
        </is>
      </c>
      <c r="B21" s="17" t="n">
        <v>5</v>
      </c>
      <c r="C21" s="17" t="n">
        <v>70000</v>
      </c>
      <c r="D21" s="18" t="n">
        <v>3200</v>
      </c>
      <c r="E21" s="19" t="n">
        <v>1120000000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685</v>
      </c>
      <c r="D26" s="18" t="n">
        <v>7600000</v>
      </c>
      <c r="E26" s="19" t="n">
        <v>5206000000</v>
      </c>
    </row>
    <row r="27">
      <c r="A27" s="8" t="inlineStr">
        <is>
          <t xml:space="preserve">  Special Districts subtotal</t>
        </is>
      </c>
      <c r="B27" s="20" t="n">
        <v>685</v>
      </c>
      <c r="C27" s="21" t="n"/>
      <c r="D27" s="21" t="n"/>
      <c r="E27" s="22" t="n">
        <v>5206000000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NY — New York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142</v>
      </c>
      <c r="C6" s="17" t="n">
        <v>450</v>
      </c>
      <c r="D6" s="18" t="n">
        <v>2000</v>
      </c>
      <c r="E6" s="19" t="n">
        <v>127800000</v>
      </c>
    </row>
    <row r="7">
      <c r="A7" s="2" t="inlineStr">
        <is>
          <t>1K-5K</t>
        </is>
      </c>
      <c r="B7" s="17" t="n">
        <v>155</v>
      </c>
      <c r="C7" s="17" t="n">
        <v>2700</v>
      </c>
      <c r="D7" s="18" t="n">
        <v>2500</v>
      </c>
      <c r="E7" s="19" t="n">
        <v>1046250000</v>
      </c>
    </row>
    <row r="8">
      <c r="A8" s="2" t="inlineStr">
        <is>
          <t>5K-10K</t>
        </is>
      </c>
      <c r="B8" s="17" t="n">
        <v>79</v>
      </c>
      <c r="C8" s="17" t="n">
        <v>7100</v>
      </c>
      <c r="D8" s="18" t="n">
        <v>3000</v>
      </c>
      <c r="E8" s="19" t="n">
        <v>1682700000</v>
      </c>
    </row>
    <row r="9">
      <c r="A9" s="2" t="inlineStr">
        <is>
          <t>10K-20K</t>
        </is>
      </c>
      <c r="B9" s="17" t="n">
        <v>81</v>
      </c>
      <c r="C9" s="17" t="n">
        <v>14000</v>
      </c>
      <c r="D9" s="18" t="n">
        <v>3500</v>
      </c>
      <c r="E9" s="19" t="n">
        <v>3969000000</v>
      </c>
    </row>
    <row r="10">
      <c r="A10" s="2" t="inlineStr">
        <is>
          <t>20K-50K</t>
        </is>
      </c>
      <c r="B10" s="17" t="n">
        <v>85</v>
      </c>
      <c r="C10" s="17" t="n">
        <v>31000</v>
      </c>
      <c r="D10" s="18" t="n">
        <v>4200</v>
      </c>
      <c r="E10" s="19" t="n">
        <v>11067000000</v>
      </c>
    </row>
    <row r="11">
      <c r="A11" s="2" t="inlineStr">
        <is>
          <t>50K-100K</t>
        </is>
      </c>
      <c r="B11" s="17" t="n">
        <v>40</v>
      </c>
      <c r="C11" s="17" t="n">
        <v>70000</v>
      </c>
      <c r="D11" s="18" t="n">
        <v>4800</v>
      </c>
      <c r="E11" s="19" t="n">
        <v>13440000000</v>
      </c>
    </row>
    <row r="12">
      <c r="A12" s="2" t="inlineStr">
        <is>
          <t>100K+</t>
        </is>
      </c>
      <c r="B12" s="17" t="n">
        <v>32</v>
      </c>
      <c r="C12" s="17" t="n">
        <v>220000</v>
      </c>
      <c r="D12" s="18" t="n">
        <v>7000</v>
      </c>
      <c r="E12" s="19" t="n">
        <v>49280000000</v>
      </c>
    </row>
    <row r="13">
      <c r="A13" s="8" t="inlineStr">
        <is>
          <t xml:space="preserve">  Municipalities subtotal</t>
        </is>
      </c>
      <c r="B13" s="20" t="n">
        <v>614</v>
      </c>
      <c r="C13" s="21" t="n"/>
      <c r="D13" s="21" t="n"/>
      <c r="E13" s="22" t="n">
        <v>80612750000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2</v>
      </c>
      <c r="C17" s="17" t="n">
        <v>2700</v>
      </c>
      <c r="D17" s="18" t="n">
        <v>3300</v>
      </c>
      <c r="E17" s="19" t="n">
        <v>17820000</v>
      </c>
    </row>
    <row r="18">
      <c r="A18" s="2" t="inlineStr">
        <is>
          <t>5K-10K</t>
        </is>
      </c>
      <c r="B18" s="17" t="n">
        <v>4</v>
      </c>
      <c r="C18" s="17" t="n">
        <v>7100</v>
      </c>
      <c r="D18" s="18" t="n">
        <v>2900</v>
      </c>
      <c r="E18" s="19" t="n">
        <v>82360000</v>
      </c>
    </row>
    <row r="19">
      <c r="A19" s="2" t="inlineStr">
        <is>
          <t>10K-20K</t>
        </is>
      </c>
      <c r="B19" s="17" t="n">
        <v>7</v>
      </c>
      <c r="C19" s="17" t="n">
        <v>14000</v>
      </c>
      <c r="D19" s="18" t="n">
        <v>2700</v>
      </c>
      <c r="E19" s="19" t="n">
        <v>264600000</v>
      </c>
    </row>
    <row r="20">
      <c r="A20" s="2" t="inlineStr">
        <is>
          <t>20K-50K</t>
        </is>
      </c>
      <c r="B20" s="17" t="n">
        <v>15</v>
      </c>
      <c r="C20" s="17" t="n">
        <v>31000</v>
      </c>
      <c r="D20" s="18" t="n">
        <v>2900</v>
      </c>
      <c r="E20" s="19" t="n">
        <v>1348500000</v>
      </c>
    </row>
    <row r="21">
      <c r="A21" s="2" t="inlineStr">
        <is>
          <t>50K-100K</t>
        </is>
      </c>
      <c r="B21" s="17" t="n">
        <v>12</v>
      </c>
      <c r="C21" s="17" t="n">
        <v>70000</v>
      </c>
      <c r="D21" s="18" t="n">
        <v>3200</v>
      </c>
      <c r="E21" s="19" t="n">
        <v>2688000000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368</v>
      </c>
      <c r="C26" s="17" t="n">
        <v>450</v>
      </c>
      <c r="D26" s="18" t="n">
        <v>600</v>
      </c>
      <c r="E26" s="19" t="n">
        <v>99360000</v>
      </c>
    </row>
    <row r="27">
      <c r="A27" s="2" t="inlineStr">
        <is>
          <t>1K-5K</t>
        </is>
      </c>
      <c r="B27" s="17" t="n">
        <v>300</v>
      </c>
      <c r="C27" s="17" t="n">
        <v>2700</v>
      </c>
      <c r="D27" s="18" t="n">
        <v>800</v>
      </c>
      <c r="E27" s="19" t="n">
        <v>648000000</v>
      </c>
    </row>
    <row r="28">
      <c r="A28" s="2" t="inlineStr">
        <is>
          <t>5K-10K</t>
        </is>
      </c>
      <c r="B28" s="17" t="n">
        <v>109</v>
      </c>
      <c r="C28" s="17" t="n">
        <v>7100</v>
      </c>
      <c r="D28" s="18" t="n">
        <v>1100</v>
      </c>
      <c r="E28" s="19" t="n">
        <v>851290000</v>
      </c>
    </row>
    <row r="29">
      <c r="A29" s="2" t="inlineStr">
        <is>
          <t>10K-20K</t>
        </is>
      </c>
      <c r="B29" s="17" t="n">
        <v>74</v>
      </c>
      <c r="C29" s="17" t="n">
        <v>14000</v>
      </c>
      <c r="D29" s="18" t="n">
        <v>1400</v>
      </c>
      <c r="E29" s="19" t="n">
        <v>1450400000</v>
      </c>
    </row>
    <row r="30">
      <c r="A30" s="2" t="inlineStr">
        <is>
          <t>20K-50K</t>
        </is>
      </c>
      <c r="B30" s="17" t="n">
        <v>58</v>
      </c>
      <c r="C30" s="17" t="n">
        <v>31000</v>
      </c>
      <c r="D30" s="18" t="n">
        <v>1600</v>
      </c>
      <c r="E30" s="19" t="n">
        <v>2876800000</v>
      </c>
    </row>
    <row r="31">
      <c r="A31" s="2" t="inlineStr">
        <is>
          <t>50K-100K</t>
        </is>
      </c>
      <c r="B31" s="17" t="n">
        <v>24</v>
      </c>
      <c r="C31" s="17" t="n">
        <v>70000</v>
      </c>
      <c r="D31" s="18" t="n">
        <v>1700</v>
      </c>
      <c r="E31" s="19" t="n">
        <v>2856000000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933</v>
      </c>
      <c r="C33" s="21" t="n"/>
      <c r="D33" s="21" t="n"/>
      <c r="E33" s="22" t="n">
        <v>8781850000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1183</v>
      </c>
      <c r="D36" s="18" t="n">
        <v>7600000</v>
      </c>
      <c r="E36" s="19" t="n">
        <v>8990800000</v>
      </c>
    </row>
    <row r="37">
      <c r="A37" s="8" t="inlineStr">
        <is>
          <t xml:space="preserve">  Special Districts subtotal</t>
        </is>
      </c>
      <c r="B37" s="20" t="n">
        <v>1183</v>
      </c>
      <c r="C37" s="21" t="n"/>
      <c r="D37" s="21" t="n"/>
      <c r="E37" s="22" t="n">
        <v>8990800000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NC — North Carolina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193</v>
      </c>
      <c r="C6" s="17" t="n">
        <v>450</v>
      </c>
      <c r="D6" s="18" t="n">
        <v>2000</v>
      </c>
      <c r="E6" s="19" t="n">
        <v>173700000</v>
      </c>
    </row>
    <row r="7">
      <c r="A7" s="2" t="inlineStr">
        <is>
          <t>1K-5K</t>
        </is>
      </c>
      <c r="B7" s="17" t="n">
        <v>166</v>
      </c>
      <c r="C7" s="17" t="n">
        <v>2700</v>
      </c>
      <c r="D7" s="18" t="n">
        <v>2500</v>
      </c>
      <c r="E7" s="19" t="n">
        <v>1120500000</v>
      </c>
    </row>
    <row r="8">
      <c r="A8" s="2" t="inlineStr">
        <is>
          <t>5K-10K</t>
        </is>
      </c>
      <c r="B8" s="17" t="n">
        <v>66</v>
      </c>
      <c r="C8" s="17" t="n">
        <v>7100</v>
      </c>
      <c r="D8" s="18" t="n">
        <v>3000</v>
      </c>
      <c r="E8" s="19" t="n">
        <v>1405800000</v>
      </c>
    </row>
    <row r="9">
      <c r="A9" s="2" t="inlineStr">
        <is>
          <t>10K-20K</t>
        </is>
      </c>
      <c r="B9" s="17" t="n">
        <v>55</v>
      </c>
      <c r="C9" s="17" t="n">
        <v>14000</v>
      </c>
      <c r="D9" s="18" t="n">
        <v>3500</v>
      </c>
      <c r="E9" s="19" t="n">
        <v>2695000000</v>
      </c>
    </row>
    <row r="10">
      <c r="A10" s="2" t="inlineStr">
        <is>
          <t>20K-50K</t>
        </is>
      </c>
      <c r="B10" s="17" t="n">
        <v>44</v>
      </c>
      <c r="C10" s="17" t="n">
        <v>31000</v>
      </c>
      <c r="D10" s="18" t="n">
        <v>4200</v>
      </c>
      <c r="E10" s="19" t="n">
        <v>5728800000</v>
      </c>
    </row>
    <row r="11">
      <c r="A11" s="2" t="inlineStr">
        <is>
          <t>50K-100K</t>
        </is>
      </c>
      <c r="B11" s="17" t="n">
        <v>17</v>
      </c>
      <c r="C11" s="17" t="n">
        <v>70000</v>
      </c>
      <c r="D11" s="18" t="n">
        <v>4800</v>
      </c>
      <c r="E11" s="19" t="n">
        <v>5712000000</v>
      </c>
    </row>
    <row r="12">
      <c r="A12" s="2" t="inlineStr">
        <is>
          <t>100K+</t>
        </is>
      </c>
      <c r="B12" s="17" t="n">
        <v>11</v>
      </c>
      <c r="C12" s="17" t="n">
        <v>220000</v>
      </c>
      <c r="D12" s="18" t="n">
        <v>7000</v>
      </c>
      <c r="E12" s="19" t="n">
        <v>16940000000</v>
      </c>
    </row>
    <row r="13">
      <c r="A13" s="8" t="inlineStr">
        <is>
          <t xml:space="preserve">  Municipalities subtotal</t>
        </is>
      </c>
      <c r="B13" s="20" t="n">
        <v>552</v>
      </c>
      <c r="C13" s="21" t="n"/>
      <c r="D13" s="21" t="n"/>
      <c r="E13" s="22" t="n">
        <v>33775800000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8</v>
      </c>
      <c r="C17" s="17" t="n">
        <v>2700</v>
      </c>
      <c r="D17" s="18" t="n">
        <v>3300</v>
      </c>
      <c r="E17" s="19" t="n">
        <v>71280000</v>
      </c>
    </row>
    <row r="18">
      <c r="A18" s="2" t="inlineStr">
        <is>
          <t>5K-10K</t>
        </is>
      </c>
      <c r="B18" s="17" t="n">
        <v>11</v>
      </c>
      <c r="C18" s="17" t="n">
        <v>7100</v>
      </c>
      <c r="D18" s="18" t="n">
        <v>2900</v>
      </c>
      <c r="E18" s="19" t="n">
        <v>226490000</v>
      </c>
    </row>
    <row r="19">
      <c r="A19" s="2" t="inlineStr">
        <is>
          <t>10K-20K</t>
        </is>
      </c>
      <c r="B19" s="17" t="n">
        <v>17</v>
      </c>
      <c r="C19" s="17" t="n">
        <v>14000</v>
      </c>
      <c r="D19" s="18" t="n">
        <v>2700</v>
      </c>
      <c r="E19" s="19" t="n">
        <v>642600000</v>
      </c>
    </row>
    <row r="20">
      <c r="A20" s="2" t="inlineStr">
        <is>
          <t>20K-50K</t>
        </is>
      </c>
      <c r="B20" s="17" t="n">
        <v>26</v>
      </c>
      <c r="C20" s="17" t="n">
        <v>31000</v>
      </c>
      <c r="D20" s="18" t="n">
        <v>2900</v>
      </c>
      <c r="E20" s="19" t="n">
        <v>2337400000</v>
      </c>
    </row>
    <row r="21">
      <c r="A21" s="2" t="inlineStr">
        <is>
          <t>50K-100K</t>
        </is>
      </c>
      <c r="B21" s="17" t="n">
        <v>17</v>
      </c>
      <c r="C21" s="17" t="n">
        <v>70000</v>
      </c>
      <c r="D21" s="18" t="n">
        <v>3200</v>
      </c>
      <c r="E21" s="19" t="n">
        <v>3808000000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311</v>
      </c>
      <c r="D26" s="18" t="n">
        <v>7600000</v>
      </c>
      <c r="E26" s="19" t="n">
        <v>2363600000</v>
      </c>
    </row>
    <row r="27">
      <c r="A27" s="8" t="inlineStr">
        <is>
          <t xml:space="preserve">  Special Districts subtotal</t>
        </is>
      </c>
      <c r="B27" s="20" t="n">
        <v>311</v>
      </c>
      <c r="C27" s="21" t="n"/>
      <c r="D27" s="21" t="n"/>
      <c r="E27" s="22" t="n">
        <v>2363600000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ND — North Dakota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159</v>
      </c>
      <c r="C6" s="17" t="n">
        <v>450</v>
      </c>
      <c r="D6" s="18" t="n">
        <v>2000</v>
      </c>
      <c r="E6" s="19" t="n">
        <v>143100000</v>
      </c>
    </row>
    <row r="7">
      <c r="A7" s="2" t="inlineStr">
        <is>
          <t>1K-5K</t>
        </is>
      </c>
      <c r="B7" s="17" t="n">
        <v>115</v>
      </c>
      <c r="C7" s="17" t="n">
        <v>2700</v>
      </c>
      <c r="D7" s="18" t="n">
        <v>2500</v>
      </c>
      <c r="E7" s="19" t="n">
        <v>776250000</v>
      </c>
    </row>
    <row r="8">
      <c r="A8" s="2" t="inlineStr">
        <is>
          <t>5K-10K</t>
        </is>
      </c>
      <c r="B8" s="17" t="n">
        <v>37</v>
      </c>
      <c r="C8" s="17" t="n">
        <v>7100</v>
      </c>
      <c r="D8" s="18" t="n">
        <v>3000</v>
      </c>
      <c r="E8" s="19" t="n">
        <v>788100000</v>
      </c>
    </row>
    <row r="9">
      <c r="A9" s="2" t="inlineStr">
        <is>
          <t>10K-20K</t>
        </is>
      </c>
      <c r="B9" s="17" t="n">
        <v>25</v>
      </c>
      <c r="C9" s="17" t="n">
        <v>14000</v>
      </c>
      <c r="D9" s="18" t="n">
        <v>3500</v>
      </c>
      <c r="E9" s="19" t="n">
        <v>1225000000</v>
      </c>
    </row>
    <row r="10">
      <c r="A10" s="2" t="inlineStr">
        <is>
          <t>20K-50K</t>
        </is>
      </c>
      <c r="B10" s="17" t="n">
        <v>15</v>
      </c>
      <c r="C10" s="17" t="n">
        <v>31000</v>
      </c>
      <c r="D10" s="18" t="n">
        <v>4200</v>
      </c>
      <c r="E10" s="19" t="n">
        <v>1953000000</v>
      </c>
    </row>
    <row r="11">
      <c r="A11" s="2" t="inlineStr">
        <is>
          <t>50K-100K</t>
        </is>
      </c>
      <c r="B11" s="17" t="n">
        <v>4</v>
      </c>
      <c r="C11" s="17" t="n">
        <v>70000</v>
      </c>
      <c r="D11" s="18" t="n">
        <v>4800</v>
      </c>
      <c r="E11" s="19" t="n">
        <v>1344000000</v>
      </c>
    </row>
    <row r="12">
      <c r="A12" s="2" t="inlineStr">
        <is>
          <t>100K+</t>
        </is>
      </c>
      <c r="B12" s="17" t="n">
        <v>2</v>
      </c>
      <c r="C12" s="17" t="n">
        <v>220000</v>
      </c>
      <c r="D12" s="18" t="n">
        <v>7000</v>
      </c>
      <c r="E12" s="19" t="n">
        <v>3080000000</v>
      </c>
    </row>
    <row r="13">
      <c r="A13" s="8" t="inlineStr">
        <is>
          <t xml:space="preserve">  Municipalities subtotal</t>
        </is>
      </c>
      <c r="B13" s="20" t="n">
        <v>357</v>
      </c>
      <c r="C13" s="21" t="n"/>
      <c r="D13" s="21" t="n"/>
      <c r="E13" s="22" t="n">
        <v>9309450000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8</v>
      </c>
      <c r="C17" s="17" t="n">
        <v>2700</v>
      </c>
      <c r="D17" s="18" t="n">
        <v>3300</v>
      </c>
      <c r="E17" s="19" t="n">
        <v>71280000</v>
      </c>
    </row>
    <row r="18">
      <c r="A18" s="2" t="inlineStr">
        <is>
          <t>5K-10K</t>
        </is>
      </c>
      <c r="B18" s="17" t="n">
        <v>9</v>
      </c>
      <c r="C18" s="17" t="n">
        <v>7100</v>
      </c>
      <c r="D18" s="18" t="n">
        <v>2900</v>
      </c>
      <c r="E18" s="19" t="n">
        <v>185310000</v>
      </c>
    </row>
    <row r="19">
      <c r="A19" s="2" t="inlineStr">
        <is>
          <t>10K-20K</t>
        </is>
      </c>
      <c r="B19" s="17" t="n">
        <v>11</v>
      </c>
      <c r="C19" s="17" t="n">
        <v>14000</v>
      </c>
      <c r="D19" s="18" t="n">
        <v>2700</v>
      </c>
      <c r="E19" s="19" t="n">
        <v>415800000</v>
      </c>
    </row>
    <row r="20">
      <c r="A20" s="2" t="inlineStr">
        <is>
          <t>20K-50K</t>
        </is>
      </c>
      <c r="B20" s="17" t="n">
        <v>13</v>
      </c>
      <c r="C20" s="17" t="n">
        <v>31000</v>
      </c>
      <c r="D20" s="18" t="n">
        <v>2900</v>
      </c>
      <c r="E20" s="19" t="n">
        <v>1168700000</v>
      </c>
    </row>
    <row r="21">
      <c r="A21" s="2" t="inlineStr">
        <is>
          <t>50K-100K</t>
        </is>
      </c>
      <c r="B21" s="17" t="n">
        <v>6</v>
      </c>
      <c r="C21" s="17" t="n">
        <v>70000</v>
      </c>
      <c r="D21" s="18" t="n">
        <v>3200</v>
      </c>
      <c r="E21" s="19" t="n">
        <v>1344000000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752</v>
      </c>
      <c r="C26" s="17" t="n">
        <v>450</v>
      </c>
      <c r="D26" s="18" t="n">
        <v>600</v>
      </c>
      <c r="E26" s="19" t="n">
        <v>203040000</v>
      </c>
    </row>
    <row r="27">
      <c r="A27" s="2" t="inlineStr">
        <is>
          <t>1K-5K</t>
        </is>
      </c>
      <c r="B27" s="17" t="n">
        <v>403</v>
      </c>
      <c r="C27" s="17" t="n">
        <v>2700</v>
      </c>
      <c r="D27" s="18" t="n">
        <v>800</v>
      </c>
      <c r="E27" s="19" t="n">
        <v>870480000</v>
      </c>
    </row>
    <row r="28">
      <c r="A28" s="2" t="inlineStr">
        <is>
          <t>5K-10K</t>
        </is>
      </c>
      <c r="B28" s="17" t="n">
        <v>92</v>
      </c>
      <c r="C28" s="17" t="n">
        <v>7100</v>
      </c>
      <c r="D28" s="18" t="n">
        <v>1100</v>
      </c>
      <c r="E28" s="19" t="n">
        <v>718520000</v>
      </c>
    </row>
    <row r="29">
      <c r="A29" s="2" t="inlineStr">
        <is>
          <t>10K-20K</t>
        </is>
      </c>
      <c r="B29" s="17" t="n">
        <v>41</v>
      </c>
      <c r="C29" s="17" t="n">
        <v>14000</v>
      </c>
      <c r="D29" s="18" t="n">
        <v>1400</v>
      </c>
      <c r="E29" s="19" t="n">
        <v>803600000</v>
      </c>
    </row>
    <row r="30">
      <c r="A30" s="2" t="inlineStr">
        <is>
          <t>20K-50K</t>
        </is>
      </c>
      <c r="B30" s="17" t="n">
        <v>19</v>
      </c>
      <c r="C30" s="17" t="n">
        <v>31000</v>
      </c>
      <c r="D30" s="18" t="n">
        <v>1600</v>
      </c>
      <c r="E30" s="19" t="n">
        <v>942400000</v>
      </c>
    </row>
    <row r="31">
      <c r="A31" s="2" t="inlineStr">
        <is>
          <t>50K-100K</t>
        </is>
      </c>
      <c r="B31" s="17" t="n">
        <v>4</v>
      </c>
      <c r="C31" s="17" t="n">
        <v>70000</v>
      </c>
      <c r="D31" s="18" t="n">
        <v>1700</v>
      </c>
      <c r="E31" s="19" t="n">
        <v>476000000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1311</v>
      </c>
      <c r="C33" s="21" t="n"/>
      <c r="D33" s="21" t="n"/>
      <c r="E33" s="22" t="n">
        <v>4014040000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763</v>
      </c>
      <c r="D36" s="18" t="n">
        <v>7600000</v>
      </c>
      <c r="E36" s="19" t="n">
        <v>5798800000</v>
      </c>
    </row>
    <row r="37">
      <c r="A37" s="8" t="inlineStr">
        <is>
          <t xml:space="preserve">  Special Districts subtotal</t>
        </is>
      </c>
      <c r="B37" s="20" t="n">
        <v>763</v>
      </c>
      <c r="C37" s="21" t="n"/>
      <c r="D37" s="21" t="n"/>
      <c r="E37" s="22" t="n">
        <v>5798800000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OH — Ohio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328</v>
      </c>
      <c r="C6" s="17" t="n">
        <v>450</v>
      </c>
      <c r="D6" s="18" t="n">
        <v>2000</v>
      </c>
      <c r="E6" s="19" t="n">
        <v>295200000</v>
      </c>
    </row>
    <row r="7">
      <c r="A7" s="2" t="inlineStr">
        <is>
          <t>1K-5K</t>
        </is>
      </c>
      <c r="B7" s="17" t="n">
        <v>281</v>
      </c>
      <c r="C7" s="17" t="n">
        <v>2700</v>
      </c>
      <c r="D7" s="18" t="n">
        <v>2500</v>
      </c>
      <c r="E7" s="19" t="n">
        <v>1896750000</v>
      </c>
    </row>
    <row r="8">
      <c r="A8" s="2" t="inlineStr">
        <is>
          <t>5K-10K</t>
        </is>
      </c>
      <c r="B8" s="17" t="n">
        <v>112</v>
      </c>
      <c r="C8" s="17" t="n">
        <v>7100</v>
      </c>
      <c r="D8" s="18" t="n">
        <v>3000</v>
      </c>
      <c r="E8" s="19" t="n">
        <v>2385600000</v>
      </c>
    </row>
    <row r="9">
      <c r="A9" s="2" t="inlineStr">
        <is>
          <t>10K-20K</t>
        </is>
      </c>
      <c r="B9" s="17" t="n">
        <v>94</v>
      </c>
      <c r="C9" s="17" t="n">
        <v>14000</v>
      </c>
      <c r="D9" s="18" t="n">
        <v>3500</v>
      </c>
      <c r="E9" s="19" t="n">
        <v>4606000000</v>
      </c>
    </row>
    <row r="10">
      <c r="A10" s="2" t="inlineStr">
        <is>
          <t>20K-50K</t>
        </is>
      </c>
      <c r="B10" s="17" t="n">
        <v>75</v>
      </c>
      <c r="C10" s="17" t="n">
        <v>31000</v>
      </c>
      <c r="D10" s="18" t="n">
        <v>4200</v>
      </c>
      <c r="E10" s="19" t="n">
        <v>9765000000</v>
      </c>
    </row>
    <row r="11">
      <c r="A11" s="2" t="inlineStr">
        <is>
          <t>50K-100K</t>
        </is>
      </c>
      <c r="B11" s="17" t="n">
        <v>28</v>
      </c>
      <c r="C11" s="17" t="n">
        <v>70000</v>
      </c>
      <c r="D11" s="18" t="n">
        <v>4800</v>
      </c>
      <c r="E11" s="19" t="n">
        <v>9408000000</v>
      </c>
    </row>
    <row r="12">
      <c r="A12" s="2" t="inlineStr">
        <is>
          <t>100K+</t>
        </is>
      </c>
      <c r="B12" s="17" t="n">
        <v>19</v>
      </c>
      <c r="C12" s="17" t="n">
        <v>220000</v>
      </c>
      <c r="D12" s="18" t="n">
        <v>7000</v>
      </c>
      <c r="E12" s="19" t="n">
        <v>29260000000</v>
      </c>
    </row>
    <row r="13">
      <c r="A13" s="8" t="inlineStr">
        <is>
          <t xml:space="preserve">  Municipalities subtotal</t>
        </is>
      </c>
      <c r="B13" s="20" t="n">
        <v>937</v>
      </c>
      <c r="C13" s="21" t="n"/>
      <c r="D13" s="21" t="n"/>
      <c r="E13" s="22" t="n">
        <v>57616550000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7</v>
      </c>
      <c r="C17" s="17" t="n">
        <v>2700</v>
      </c>
      <c r="D17" s="18" t="n">
        <v>3300</v>
      </c>
      <c r="E17" s="19" t="n">
        <v>62370000</v>
      </c>
    </row>
    <row r="18">
      <c r="A18" s="2" t="inlineStr">
        <is>
          <t>5K-10K</t>
        </is>
      </c>
      <c r="B18" s="17" t="n">
        <v>10</v>
      </c>
      <c r="C18" s="17" t="n">
        <v>7100</v>
      </c>
      <c r="D18" s="18" t="n">
        <v>2900</v>
      </c>
      <c r="E18" s="19" t="n">
        <v>205900000</v>
      </c>
    </row>
    <row r="19">
      <c r="A19" s="2" t="inlineStr">
        <is>
          <t>10K-20K</t>
        </is>
      </c>
      <c r="B19" s="17" t="n">
        <v>15</v>
      </c>
      <c r="C19" s="17" t="n">
        <v>14000</v>
      </c>
      <c r="D19" s="18" t="n">
        <v>2700</v>
      </c>
      <c r="E19" s="19" t="n">
        <v>567000000</v>
      </c>
    </row>
    <row r="20">
      <c r="A20" s="2" t="inlineStr">
        <is>
          <t>20K-50K</t>
        </is>
      </c>
      <c r="B20" s="17" t="n">
        <v>23</v>
      </c>
      <c r="C20" s="17" t="n">
        <v>31000</v>
      </c>
      <c r="D20" s="18" t="n">
        <v>2900</v>
      </c>
      <c r="E20" s="19" t="n">
        <v>2067700000</v>
      </c>
    </row>
    <row r="21">
      <c r="A21" s="2" t="inlineStr">
        <is>
          <t>50K-100K</t>
        </is>
      </c>
      <c r="B21" s="17" t="n">
        <v>15</v>
      </c>
      <c r="C21" s="17" t="n">
        <v>70000</v>
      </c>
      <c r="D21" s="18" t="n">
        <v>3200</v>
      </c>
      <c r="E21" s="19" t="n">
        <v>3360000000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654</v>
      </c>
      <c r="C26" s="17" t="n">
        <v>450</v>
      </c>
      <c r="D26" s="18" t="n">
        <v>600</v>
      </c>
      <c r="E26" s="19" t="n">
        <v>176580000</v>
      </c>
    </row>
    <row r="27">
      <c r="A27" s="2" t="inlineStr">
        <is>
          <t>1K-5K</t>
        </is>
      </c>
      <c r="B27" s="17" t="n">
        <v>419</v>
      </c>
      <c r="C27" s="17" t="n">
        <v>2700</v>
      </c>
      <c r="D27" s="18" t="n">
        <v>800</v>
      </c>
      <c r="E27" s="19" t="n">
        <v>905040000</v>
      </c>
    </row>
    <row r="28">
      <c r="A28" s="2" t="inlineStr">
        <is>
          <t>5K-10K</t>
        </is>
      </c>
      <c r="B28" s="17" t="n">
        <v>118</v>
      </c>
      <c r="C28" s="17" t="n">
        <v>7100</v>
      </c>
      <c r="D28" s="18" t="n">
        <v>1100</v>
      </c>
      <c r="E28" s="19" t="n">
        <v>921580000</v>
      </c>
    </row>
    <row r="29">
      <c r="A29" s="2" t="inlineStr">
        <is>
          <t>10K-20K</t>
        </is>
      </c>
      <c r="B29" s="17" t="n">
        <v>65</v>
      </c>
      <c r="C29" s="17" t="n">
        <v>14000</v>
      </c>
      <c r="D29" s="18" t="n">
        <v>1400</v>
      </c>
      <c r="E29" s="19" t="n">
        <v>1274000000</v>
      </c>
    </row>
    <row r="30">
      <c r="A30" s="2" t="inlineStr">
        <is>
          <t>20K-50K</t>
        </is>
      </c>
      <c r="B30" s="17" t="n">
        <v>39</v>
      </c>
      <c r="C30" s="17" t="n">
        <v>31000</v>
      </c>
      <c r="D30" s="18" t="n">
        <v>1600</v>
      </c>
      <c r="E30" s="19" t="n">
        <v>1934400000</v>
      </c>
    </row>
    <row r="31">
      <c r="A31" s="2" t="inlineStr">
        <is>
          <t>50K-100K</t>
        </is>
      </c>
      <c r="B31" s="17" t="n">
        <v>13</v>
      </c>
      <c r="C31" s="17" t="n">
        <v>70000</v>
      </c>
      <c r="D31" s="18" t="n">
        <v>1700</v>
      </c>
      <c r="E31" s="19" t="n">
        <v>1547000000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1308</v>
      </c>
      <c r="C33" s="21" t="n"/>
      <c r="D33" s="21" t="n"/>
      <c r="E33" s="22" t="n">
        <v>6758600000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776</v>
      </c>
      <c r="D36" s="18" t="n">
        <v>7600000</v>
      </c>
      <c r="E36" s="19" t="n">
        <v>5897600000</v>
      </c>
    </row>
    <row r="37">
      <c r="A37" s="8" t="inlineStr">
        <is>
          <t xml:space="preserve">  Special Districts subtotal</t>
        </is>
      </c>
      <c r="B37" s="20" t="n">
        <v>776</v>
      </c>
      <c r="C37" s="21" t="n"/>
      <c r="D37" s="21" t="n"/>
      <c r="E37" s="22" t="n">
        <v>5897600000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OK — Oklahoma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231</v>
      </c>
      <c r="C6" s="17" t="n">
        <v>450</v>
      </c>
      <c r="D6" s="18" t="n">
        <v>2000</v>
      </c>
      <c r="E6" s="19" t="n">
        <v>207900000</v>
      </c>
    </row>
    <row r="7">
      <c r="A7" s="2" t="inlineStr">
        <is>
          <t>1K-5K</t>
        </is>
      </c>
      <c r="B7" s="17" t="n">
        <v>190</v>
      </c>
      <c r="C7" s="17" t="n">
        <v>2700</v>
      </c>
      <c r="D7" s="18" t="n">
        <v>2500</v>
      </c>
      <c r="E7" s="19" t="n">
        <v>1282500000</v>
      </c>
    </row>
    <row r="8">
      <c r="A8" s="2" t="inlineStr">
        <is>
          <t>5K-10K</t>
        </is>
      </c>
      <c r="B8" s="17" t="n">
        <v>69</v>
      </c>
      <c r="C8" s="17" t="n">
        <v>7100</v>
      </c>
      <c r="D8" s="18" t="n">
        <v>3000</v>
      </c>
      <c r="E8" s="19" t="n">
        <v>1469700000</v>
      </c>
    </row>
    <row r="9">
      <c r="A9" s="2" t="inlineStr">
        <is>
          <t>10K-20K</t>
        </is>
      </c>
      <c r="B9" s="17" t="n">
        <v>52</v>
      </c>
      <c r="C9" s="17" t="n">
        <v>14000</v>
      </c>
      <c r="D9" s="18" t="n">
        <v>3500</v>
      </c>
      <c r="E9" s="19" t="n">
        <v>2548000000</v>
      </c>
    </row>
    <row r="10">
      <c r="A10" s="2" t="inlineStr">
        <is>
          <t>20K-50K</t>
        </is>
      </c>
      <c r="B10" s="17" t="n">
        <v>38</v>
      </c>
      <c r="C10" s="17" t="n">
        <v>31000</v>
      </c>
      <c r="D10" s="18" t="n">
        <v>4200</v>
      </c>
      <c r="E10" s="19" t="n">
        <v>4947600000</v>
      </c>
    </row>
    <row r="11">
      <c r="A11" s="2" t="inlineStr">
        <is>
          <t>50K-100K</t>
        </is>
      </c>
      <c r="B11" s="17" t="n">
        <v>12</v>
      </c>
      <c r="C11" s="17" t="n">
        <v>70000</v>
      </c>
      <c r="D11" s="18" t="n">
        <v>4800</v>
      </c>
      <c r="E11" s="19" t="n">
        <v>4032000000</v>
      </c>
    </row>
    <row r="12">
      <c r="A12" s="2" t="inlineStr">
        <is>
          <t>100K+</t>
        </is>
      </c>
      <c r="B12" s="17" t="n">
        <v>7</v>
      </c>
      <c r="C12" s="17" t="n">
        <v>220000</v>
      </c>
      <c r="D12" s="18" t="n">
        <v>7000</v>
      </c>
      <c r="E12" s="19" t="n">
        <v>10780000000</v>
      </c>
    </row>
    <row r="13">
      <c r="A13" s="8" t="inlineStr">
        <is>
          <t xml:space="preserve">  Municipalities subtotal</t>
        </is>
      </c>
      <c r="B13" s="20" t="n">
        <v>599</v>
      </c>
      <c r="C13" s="21" t="n"/>
      <c r="D13" s="21" t="n"/>
      <c r="E13" s="22" t="n">
        <v>25267700000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8</v>
      </c>
      <c r="C17" s="17" t="n">
        <v>2700</v>
      </c>
      <c r="D17" s="18" t="n">
        <v>3300</v>
      </c>
      <c r="E17" s="19" t="n">
        <v>71280000</v>
      </c>
    </row>
    <row r="18">
      <c r="A18" s="2" t="inlineStr">
        <is>
          <t>5K-10K</t>
        </is>
      </c>
      <c r="B18" s="17" t="n">
        <v>10</v>
      </c>
      <c r="C18" s="17" t="n">
        <v>7100</v>
      </c>
      <c r="D18" s="18" t="n">
        <v>2900</v>
      </c>
      <c r="E18" s="19" t="n">
        <v>205900000</v>
      </c>
    </row>
    <row r="19">
      <c r="A19" s="2" t="inlineStr">
        <is>
          <t>10K-20K</t>
        </is>
      </c>
      <c r="B19" s="17" t="n">
        <v>15</v>
      </c>
      <c r="C19" s="17" t="n">
        <v>14000</v>
      </c>
      <c r="D19" s="18" t="n">
        <v>2700</v>
      </c>
      <c r="E19" s="19" t="n">
        <v>567000000</v>
      </c>
    </row>
    <row r="20">
      <c r="A20" s="2" t="inlineStr">
        <is>
          <t>20K-50K</t>
        </is>
      </c>
      <c r="B20" s="17" t="n">
        <v>20</v>
      </c>
      <c r="C20" s="17" t="n">
        <v>31000</v>
      </c>
      <c r="D20" s="18" t="n">
        <v>2900</v>
      </c>
      <c r="E20" s="19" t="n">
        <v>1798000000</v>
      </c>
    </row>
    <row r="21">
      <c r="A21" s="2" t="inlineStr">
        <is>
          <t>50K-100K</t>
        </is>
      </c>
      <c r="B21" s="17" t="n">
        <v>12</v>
      </c>
      <c r="C21" s="17" t="n">
        <v>70000</v>
      </c>
      <c r="D21" s="18" t="n">
        <v>3200</v>
      </c>
      <c r="E21" s="19" t="n">
        <v>2688000000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560</v>
      </c>
      <c r="D26" s="18" t="n">
        <v>7600000</v>
      </c>
      <c r="E26" s="19" t="n">
        <v>4256000000</v>
      </c>
    </row>
    <row r="27">
      <c r="A27" s="8" t="inlineStr">
        <is>
          <t xml:space="preserve">  Special Districts subtotal</t>
        </is>
      </c>
      <c r="B27" s="20" t="n">
        <v>560</v>
      </c>
      <c r="C27" s="21" t="n"/>
      <c r="D27" s="21" t="n"/>
      <c r="E27" s="22" t="n">
        <v>4256000000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OR — Oregon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85</v>
      </c>
      <c r="C6" s="17" t="n">
        <v>450</v>
      </c>
      <c r="D6" s="18" t="n">
        <v>2000</v>
      </c>
      <c r="E6" s="19" t="n">
        <v>76500000</v>
      </c>
    </row>
    <row r="7">
      <c r="A7" s="2" t="inlineStr">
        <is>
          <t>1K-5K</t>
        </is>
      </c>
      <c r="B7" s="17" t="n">
        <v>72</v>
      </c>
      <c r="C7" s="17" t="n">
        <v>2700</v>
      </c>
      <c r="D7" s="18" t="n">
        <v>2500</v>
      </c>
      <c r="E7" s="19" t="n">
        <v>486000000</v>
      </c>
    </row>
    <row r="8">
      <c r="A8" s="2" t="inlineStr">
        <is>
          <t>5K-10K</t>
        </is>
      </c>
      <c r="B8" s="17" t="n">
        <v>29</v>
      </c>
      <c r="C8" s="17" t="n">
        <v>7100</v>
      </c>
      <c r="D8" s="18" t="n">
        <v>3000</v>
      </c>
      <c r="E8" s="19" t="n">
        <v>617700000</v>
      </c>
    </row>
    <row r="9">
      <c r="A9" s="2" t="inlineStr">
        <is>
          <t>10K-20K</t>
        </is>
      </c>
      <c r="B9" s="17" t="n">
        <v>24</v>
      </c>
      <c r="C9" s="17" t="n">
        <v>14000</v>
      </c>
      <c r="D9" s="18" t="n">
        <v>3500</v>
      </c>
      <c r="E9" s="19" t="n">
        <v>1176000000</v>
      </c>
    </row>
    <row r="10">
      <c r="A10" s="2" t="inlineStr">
        <is>
          <t>20K-50K</t>
        </is>
      </c>
      <c r="B10" s="17" t="n">
        <v>19</v>
      </c>
      <c r="C10" s="17" t="n">
        <v>31000</v>
      </c>
      <c r="D10" s="18" t="n">
        <v>4200</v>
      </c>
      <c r="E10" s="19" t="n">
        <v>2473800000</v>
      </c>
    </row>
    <row r="11">
      <c r="A11" s="2" t="inlineStr">
        <is>
          <t>50K-100K</t>
        </is>
      </c>
      <c r="B11" s="17" t="n">
        <v>7</v>
      </c>
      <c r="C11" s="17" t="n">
        <v>70000</v>
      </c>
      <c r="D11" s="18" t="n">
        <v>4800</v>
      </c>
      <c r="E11" s="19" t="n">
        <v>2352000000</v>
      </c>
    </row>
    <row r="12">
      <c r="A12" s="2" t="inlineStr">
        <is>
          <t>100K+</t>
        </is>
      </c>
      <c r="B12" s="17" t="n">
        <v>5</v>
      </c>
      <c r="C12" s="17" t="n">
        <v>220000</v>
      </c>
      <c r="D12" s="18" t="n">
        <v>7000</v>
      </c>
      <c r="E12" s="19" t="n">
        <v>7700000000</v>
      </c>
    </row>
    <row r="13">
      <c r="A13" s="8" t="inlineStr">
        <is>
          <t xml:space="preserve">  Municipalities subtotal</t>
        </is>
      </c>
      <c r="B13" s="20" t="n">
        <v>241</v>
      </c>
      <c r="C13" s="21" t="n"/>
      <c r="D13" s="21" t="n"/>
      <c r="E13" s="22" t="n">
        <v>14882000000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3</v>
      </c>
      <c r="C17" s="17" t="n">
        <v>2700</v>
      </c>
      <c r="D17" s="18" t="n">
        <v>3300</v>
      </c>
      <c r="E17" s="19" t="n">
        <v>26730000</v>
      </c>
    </row>
    <row r="18">
      <c r="A18" s="2" t="inlineStr">
        <is>
          <t>5K-10K</t>
        </is>
      </c>
      <c r="B18" s="17" t="n">
        <v>4</v>
      </c>
      <c r="C18" s="17" t="n">
        <v>7100</v>
      </c>
      <c r="D18" s="18" t="n">
        <v>2900</v>
      </c>
      <c r="E18" s="19" t="n">
        <v>82360000</v>
      </c>
    </row>
    <row r="19">
      <c r="A19" s="2" t="inlineStr">
        <is>
          <t>10K-20K</t>
        </is>
      </c>
      <c r="B19" s="17" t="n">
        <v>6</v>
      </c>
      <c r="C19" s="17" t="n">
        <v>14000</v>
      </c>
      <c r="D19" s="18" t="n">
        <v>2700</v>
      </c>
      <c r="E19" s="19" t="n">
        <v>226800000</v>
      </c>
    </row>
    <row r="20">
      <c r="A20" s="2" t="inlineStr">
        <is>
          <t>20K-50K</t>
        </is>
      </c>
      <c r="B20" s="17" t="n">
        <v>9</v>
      </c>
      <c r="C20" s="17" t="n">
        <v>31000</v>
      </c>
      <c r="D20" s="18" t="n">
        <v>2900</v>
      </c>
      <c r="E20" s="19" t="n">
        <v>809100000</v>
      </c>
    </row>
    <row r="21">
      <c r="A21" s="2" t="inlineStr">
        <is>
          <t>50K-100K</t>
        </is>
      </c>
      <c r="B21" s="17" t="n">
        <v>6</v>
      </c>
      <c r="C21" s="17" t="n">
        <v>70000</v>
      </c>
      <c r="D21" s="18" t="n">
        <v>3200</v>
      </c>
      <c r="E21" s="19" t="n">
        <v>1344000000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1057</v>
      </c>
      <c r="D26" s="18" t="n">
        <v>7600000</v>
      </c>
      <c r="E26" s="19" t="n">
        <v>8033200000</v>
      </c>
    </row>
    <row r="27">
      <c r="A27" s="8" t="inlineStr">
        <is>
          <t xml:space="preserve">  Special Districts subtotal</t>
        </is>
      </c>
      <c r="B27" s="20" t="n">
        <v>1057</v>
      </c>
      <c r="C27" s="21" t="n"/>
      <c r="D27" s="21" t="n"/>
      <c r="E27" s="22" t="n">
        <v>8033200000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PA — Pennsylvania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355</v>
      </c>
      <c r="C6" s="17" t="n">
        <v>450</v>
      </c>
      <c r="D6" s="18" t="n">
        <v>2000</v>
      </c>
      <c r="E6" s="19" t="n">
        <v>319500000</v>
      </c>
    </row>
    <row r="7">
      <c r="A7" s="2" t="inlineStr">
        <is>
          <t>1K-5K</t>
        </is>
      </c>
      <c r="B7" s="17" t="n">
        <v>305</v>
      </c>
      <c r="C7" s="17" t="n">
        <v>2700</v>
      </c>
      <c r="D7" s="18" t="n">
        <v>2500</v>
      </c>
      <c r="E7" s="19" t="n">
        <v>2058750000</v>
      </c>
    </row>
    <row r="8">
      <c r="A8" s="2" t="inlineStr">
        <is>
          <t>5K-10K</t>
        </is>
      </c>
      <c r="B8" s="17" t="n">
        <v>122</v>
      </c>
      <c r="C8" s="17" t="n">
        <v>7100</v>
      </c>
      <c r="D8" s="18" t="n">
        <v>3000</v>
      </c>
      <c r="E8" s="19" t="n">
        <v>2598600000</v>
      </c>
    </row>
    <row r="9">
      <c r="A9" s="2" t="inlineStr">
        <is>
          <t>10K-20K</t>
        </is>
      </c>
      <c r="B9" s="17" t="n">
        <v>102</v>
      </c>
      <c r="C9" s="17" t="n">
        <v>14000</v>
      </c>
      <c r="D9" s="18" t="n">
        <v>3500</v>
      </c>
      <c r="E9" s="19" t="n">
        <v>4998000000</v>
      </c>
    </row>
    <row r="10">
      <c r="A10" s="2" t="inlineStr">
        <is>
          <t>20K-50K</t>
        </is>
      </c>
      <c r="B10" s="17" t="n">
        <v>81</v>
      </c>
      <c r="C10" s="17" t="n">
        <v>31000</v>
      </c>
      <c r="D10" s="18" t="n">
        <v>4200</v>
      </c>
      <c r="E10" s="19" t="n">
        <v>10546200000</v>
      </c>
    </row>
    <row r="11">
      <c r="A11" s="2" t="inlineStr">
        <is>
          <t>50K-100K</t>
        </is>
      </c>
      <c r="B11" s="17" t="n">
        <v>30</v>
      </c>
      <c r="C11" s="17" t="n">
        <v>70000</v>
      </c>
      <c r="D11" s="18" t="n">
        <v>4800</v>
      </c>
      <c r="E11" s="19" t="n">
        <v>10080000000</v>
      </c>
    </row>
    <row r="12">
      <c r="A12" s="2" t="inlineStr">
        <is>
          <t>100K+</t>
        </is>
      </c>
      <c r="B12" s="17" t="n">
        <v>20</v>
      </c>
      <c r="C12" s="17" t="n">
        <v>220000</v>
      </c>
      <c r="D12" s="18" t="n">
        <v>7000</v>
      </c>
      <c r="E12" s="19" t="n">
        <v>30800000000</v>
      </c>
    </row>
    <row r="13">
      <c r="A13" s="8" t="inlineStr">
        <is>
          <t xml:space="preserve">  Municipalities subtotal</t>
        </is>
      </c>
      <c r="B13" s="20" t="n">
        <v>1015</v>
      </c>
      <c r="C13" s="21" t="n"/>
      <c r="D13" s="21" t="n"/>
      <c r="E13" s="22" t="n">
        <v>61401050000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5</v>
      </c>
      <c r="C17" s="17" t="n">
        <v>2700</v>
      </c>
      <c r="D17" s="18" t="n">
        <v>3300</v>
      </c>
      <c r="E17" s="19" t="n">
        <v>44550000</v>
      </c>
    </row>
    <row r="18">
      <c r="A18" s="2" t="inlineStr">
        <is>
          <t>5K-10K</t>
        </is>
      </c>
      <c r="B18" s="17" t="n">
        <v>7</v>
      </c>
      <c r="C18" s="17" t="n">
        <v>7100</v>
      </c>
      <c r="D18" s="18" t="n">
        <v>2900</v>
      </c>
      <c r="E18" s="19" t="n">
        <v>144130000</v>
      </c>
    </row>
    <row r="19">
      <c r="A19" s="2" t="inlineStr">
        <is>
          <t>10K-20K</t>
        </is>
      </c>
      <c r="B19" s="17" t="n">
        <v>11</v>
      </c>
      <c r="C19" s="17" t="n">
        <v>14000</v>
      </c>
      <c r="D19" s="18" t="n">
        <v>2700</v>
      </c>
      <c r="E19" s="19" t="n">
        <v>415800000</v>
      </c>
    </row>
    <row r="20">
      <c r="A20" s="2" t="inlineStr">
        <is>
          <t>20K-50K</t>
        </is>
      </c>
      <c r="B20" s="17" t="n">
        <v>18</v>
      </c>
      <c r="C20" s="17" t="n">
        <v>31000</v>
      </c>
      <c r="D20" s="18" t="n">
        <v>2900</v>
      </c>
      <c r="E20" s="19" t="n">
        <v>1618200000</v>
      </c>
    </row>
    <row r="21">
      <c r="A21" s="2" t="inlineStr">
        <is>
          <t>50K-100K</t>
        </is>
      </c>
      <c r="B21" s="17" t="n">
        <v>11</v>
      </c>
      <c r="C21" s="17" t="n">
        <v>70000</v>
      </c>
      <c r="D21" s="18" t="n">
        <v>3200</v>
      </c>
      <c r="E21" s="19" t="n">
        <v>2464000000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773</v>
      </c>
      <c r="C26" s="17" t="n">
        <v>450</v>
      </c>
      <c r="D26" s="18" t="n">
        <v>600</v>
      </c>
      <c r="E26" s="19" t="n">
        <v>208710000</v>
      </c>
    </row>
    <row r="27">
      <c r="A27" s="2" t="inlineStr">
        <is>
          <t>1K-5K</t>
        </is>
      </c>
      <c r="B27" s="17" t="n">
        <v>495</v>
      </c>
      <c r="C27" s="17" t="n">
        <v>2700</v>
      </c>
      <c r="D27" s="18" t="n">
        <v>800</v>
      </c>
      <c r="E27" s="19" t="n">
        <v>1069200000</v>
      </c>
    </row>
    <row r="28">
      <c r="A28" s="2" t="inlineStr">
        <is>
          <t>5K-10K</t>
        </is>
      </c>
      <c r="B28" s="17" t="n">
        <v>139</v>
      </c>
      <c r="C28" s="17" t="n">
        <v>7100</v>
      </c>
      <c r="D28" s="18" t="n">
        <v>1100</v>
      </c>
      <c r="E28" s="19" t="n">
        <v>1085590000</v>
      </c>
    </row>
    <row r="29">
      <c r="A29" s="2" t="inlineStr">
        <is>
          <t>10K-20K</t>
        </is>
      </c>
      <c r="B29" s="17" t="n">
        <v>77</v>
      </c>
      <c r="C29" s="17" t="n">
        <v>14000</v>
      </c>
      <c r="D29" s="18" t="n">
        <v>1400</v>
      </c>
      <c r="E29" s="19" t="n">
        <v>1509200000</v>
      </c>
    </row>
    <row r="30">
      <c r="A30" s="2" t="inlineStr">
        <is>
          <t>20K-50K</t>
        </is>
      </c>
      <c r="B30" s="17" t="n">
        <v>46</v>
      </c>
      <c r="C30" s="17" t="n">
        <v>31000</v>
      </c>
      <c r="D30" s="18" t="n">
        <v>1600</v>
      </c>
      <c r="E30" s="19" t="n">
        <v>2281600000</v>
      </c>
    </row>
    <row r="31">
      <c r="A31" s="2" t="inlineStr">
        <is>
          <t>50K-100K</t>
        </is>
      </c>
      <c r="B31" s="17" t="n">
        <v>16</v>
      </c>
      <c r="C31" s="17" t="n">
        <v>70000</v>
      </c>
      <c r="D31" s="18" t="n">
        <v>1700</v>
      </c>
      <c r="E31" s="19" t="n">
        <v>1904000000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1546</v>
      </c>
      <c r="C33" s="21" t="n"/>
      <c r="D33" s="21" t="n"/>
      <c r="E33" s="22" t="n">
        <v>8058300000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1620</v>
      </c>
      <c r="D36" s="18" t="n">
        <v>7600000</v>
      </c>
      <c r="E36" s="19" t="n">
        <v>12312000000</v>
      </c>
    </row>
    <row r="37">
      <c r="A37" s="8" t="inlineStr">
        <is>
          <t xml:space="preserve">  Special Districts subtotal</t>
        </is>
      </c>
      <c r="B37" s="20" t="n">
        <v>1620</v>
      </c>
      <c r="C37" s="21" t="n"/>
      <c r="D37" s="21" t="n"/>
      <c r="E37" s="22" t="n">
        <v>12312000000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RI — Rhode Island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3</v>
      </c>
      <c r="C6" s="17" t="n">
        <v>450</v>
      </c>
      <c r="D6" s="18" t="n">
        <v>2000</v>
      </c>
      <c r="E6" s="19" t="n">
        <v>2700000</v>
      </c>
    </row>
    <row r="7">
      <c r="A7" s="2" t="inlineStr">
        <is>
          <t>1K-5K</t>
        </is>
      </c>
      <c r="B7" s="17" t="n">
        <v>2</v>
      </c>
      <c r="C7" s="17" t="n">
        <v>2700</v>
      </c>
      <c r="D7" s="18" t="n">
        <v>2500</v>
      </c>
      <c r="E7" s="19" t="n">
        <v>13500000</v>
      </c>
    </row>
    <row r="8">
      <c r="A8" s="2" t="inlineStr">
        <is>
          <t>5K-10K</t>
        </is>
      </c>
      <c r="B8" s="17" t="n">
        <v>1</v>
      </c>
      <c r="C8" s="17" t="n">
        <v>7100</v>
      </c>
      <c r="D8" s="18" t="n">
        <v>3000</v>
      </c>
      <c r="E8" s="19" t="n">
        <v>21300000</v>
      </c>
    </row>
    <row r="9">
      <c r="A9" s="2" t="inlineStr">
        <is>
          <t>10K-20K</t>
        </is>
      </c>
      <c r="B9" s="17" t="n">
        <v>1</v>
      </c>
      <c r="C9" s="17" t="n">
        <v>14000</v>
      </c>
      <c r="D9" s="18" t="n">
        <v>3500</v>
      </c>
      <c r="E9" s="19" t="n">
        <v>49000000</v>
      </c>
    </row>
    <row r="10">
      <c r="A10" s="2" t="inlineStr">
        <is>
          <t>20K-50K</t>
        </is>
      </c>
      <c r="B10" s="17" t="n">
        <v>1</v>
      </c>
      <c r="C10" s="17" t="n">
        <v>31000</v>
      </c>
      <c r="D10" s="18" t="n">
        <v>4200</v>
      </c>
      <c r="E10" s="19" t="n">
        <v>130200000</v>
      </c>
    </row>
    <row r="11">
      <c r="A11" s="2" t="inlineStr">
        <is>
          <t>50K-100K</t>
        </is>
      </c>
      <c r="B11" s="17" t="n">
        <v>0</v>
      </c>
      <c r="C11" s="17" t="n">
        <v>70000</v>
      </c>
      <c r="D11" s="18" t="n">
        <v>4800</v>
      </c>
      <c r="E11" s="19" t="n">
        <v>0</v>
      </c>
    </row>
    <row r="12">
      <c r="A12" s="2" t="inlineStr">
        <is>
          <t>100K+</t>
        </is>
      </c>
      <c r="B12" s="17" t="n">
        <v>0</v>
      </c>
      <c r="C12" s="17" t="n">
        <v>220000</v>
      </c>
      <c r="D12" s="18" t="n">
        <v>7000</v>
      </c>
      <c r="E12" s="19" t="n">
        <v>0</v>
      </c>
    </row>
    <row r="13">
      <c r="A13" s="8" t="inlineStr">
        <is>
          <t xml:space="preserve">  Municipalities subtotal</t>
        </is>
      </c>
      <c r="B13" s="20" t="n">
        <v>8</v>
      </c>
      <c r="C13" s="21" t="n"/>
      <c r="D13" s="21" t="n"/>
      <c r="E13" s="22" t="n">
        <v>216700000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0</v>
      </c>
      <c r="C17" s="17" t="n">
        <v>2700</v>
      </c>
      <c r="D17" s="18" t="n">
        <v>3300</v>
      </c>
      <c r="E17" s="19" t="n">
        <v>0</v>
      </c>
    </row>
    <row r="18">
      <c r="A18" s="2" t="inlineStr">
        <is>
          <t>5K-10K</t>
        </is>
      </c>
      <c r="B18" s="17" t="n">
        <v>0</v>
      </c>
      <c r="C18" s="17" t="n">
        <v>7100</v>
      </c>
      <c r="D18" s="18" t="n">
        <v>2900</v>
      </c>
      <c r="E18" s="19" t="n">
        <v>0</v>
      </c>
    </row>
    <row r="19">
      <c r="A19" s="2" t="inlineStr">
        <is>
          <t>10K-20K</t>
        </is>
      </c>
      <c r="B19" s="17" t="n">
        <v>0</v>
      </c>
      <c r="C19" s="17" t="n">
        <v>14000</v>
      </c>
      <c r="D19" s="18" t="n">
        <v>2700</v>
      </c>
      <c r="E19" s="19" t="n">
        <v>0</v>
      </c>
    </row>
    <row r="20">
      <c r="A20" s="2" t="inlineStr">
        <is>
          <t>20K-50K</t>
        </is>
      </c>
      <c r="B20" s="17" t="n">
        <v>0</v>
      </c>
      <c r="C20" s="17" t="n">
        <v>31000</v>
      </c>
      <c r="D20" s="18" t="n">
        <v>2900</v>
      </c>
      <c r="E20" s="19" t="n">
        <v>0</v>
      </c>
    </row>
    <row r="21">
      <c r="A21" s="2" t="inlineStr">
        <is>
          <t>50K-100K</t>
        </is>
      </c>
      <c r="B21" s="17" t="n">
        <v>0</v>
      </c>
      <c r="C21" s="17" t="n">
        <v>70000</v>
      </c>
      <c r="D21" s="18" t="n">
        <v>3200</v>
      </c>
      <c r="E21" s="19" t="n">
        <v>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14</v>
      </c>
      <c r="C26" s="17" t="n">
        <v>450</v>
      </c>
      <c r="D26" s="18" t="n">
        <v>600</v>
      </c>
      <c r="E26" s="19" t="n">
        <v>3780000</v>
      </c>
    </row>
    <row r="27">
      <c r="A27" s="2" t="inlineStr">
        <is>
          <t>1K-5K</t>
        </is>
      </c>
      <c r="B27" s="17" t="n">
        <v>10</v>
      </c>
      <c r="C27" s="17" t="n">
        <v>2700</v>
      </c>
      <c r="D27" s="18" t="n">
        <v>800</v>
      </c>
      <c r="E27" s="19" t="n">
        <v>21600000</v>
      </c>
    </row>
    <row r="28">
      <c r="A28" s="2" t="inlineStr">
        <is>
          <t>5K-10K</t>
        </is>
      </c>
      <c r="B28" s="17" t="n">
        <v>3</v>
      </c>
      <c r="C28" s="17" t="n">
        <v>7100</v>
      </c>
      <c r="D28" s="18" t="n">
        <v>1100</v>
      </c>
      <c r="E28" s="19" t="n">
        <v>23430000</v>
      </c>
    </row>
    <row r="29">
      <c r="A29" s="2" t="inlineStr">
        <is>
          <t>10K-20K</t>
        </is>
      </c>
      <c r="B29" s="17" t="n">
        <v>2</v>
      </c>
      <c r="C29" s="17" t="n">
        <v>14000</v>
      </c>
      <c r="D29" s="18" t="n">
        <v>1400</v>
      </c>
      <c r="E29" s="19" t="n">
        <v>39200000</v>
      </c>
    </row>
    <row r="30">
      <c r="A30" s="2" t="inlineStr">
        <is>
          <t>20K-50K</t>
        </is>
      </c>
      <c r="B30" s="17" t="n">
        <v>1</v>
      </c>
      <c r="C30" s="17" t="n">
        <v>31000</v>
      </c>
      <c r="D30" s="18" t="n">
        <v>1600</v>
      </c>
      <c r="E30" s="19" t="n">
        <v>49600000</v>
      </c>
    </row>
    <row r="31">
      <c r="A31" s="2" t="inlineStr">
        <is>
          <t>50K-100K</t>
        </is>
      </c>
      <c r="B31" s="17" t="n">
        <v>1</v>
      </c>
      <c r="C31" s="17" t="n">
        <v>70000</v>
      </c>
      <c r="D31" s="18" t="n">
        <v>1700</v>
      </c>
      <c r="E31" s="19" t="n">
        <v>119000000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31</v>
      </c>
      <c r="C33" s="21" t="n"/>
      <c r="D33" s="21" t="n"/>
      <c r="E33" s="22" t="n">
        <v>256610000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84</v>
      </c>
      <c r="D36" s="18" t="n">
        <v>7600000</v>
      </c>
      <c r="E36" s="19" t="n">
        <v>638400000</v>
      </c>
    </row>
    <row r="37">
      <c r="A37" s="8" t="inlineStr">
        <is>
          <t xml:space="preserve">  Special Districts subtotal</t>
        </is>
      </c>
      <c r="B37" s="20" t="n">
        <v>84</v>
      </c>
      <c r="C37" s="21" t="n"/>
      <c r="D37" s="21" t="n"/>
      <c r="E37" s="22" t="n">
        <v>638400000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SC — South Carolina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95</v>
      </c>
      <c r="C6" s="17" t="n">
        <v>450</v>
      </c>
      <c r="D6" s="18" t="n">
        <v>2000</v>
      </c>
      <c r="E6" s="19" t="n">
        <v>85500000</v>
      </c>
    </row>
    <row r="7">
      <c r="A7" s="2" t="inlineStr">
        <is>
          <t>1K-5K</t>
        </is>
      </c>
      <c r="B7" s="17" t="n">
        <v>81</v>
      </c>
      <c r="C7" s="17" t="n">
        <v>2700</v>
      </c>
      <c r="D7" s="18" t="n">
        <v>2500</v>
      </c>
      <c r="E7" s="19" t="n">
        <v>546750000</v>
      </c>
    </row>
    <row r="8">
      <c r="A8" s="2" t="inlineStr">
        <is>
          <t>5K-10K</t>
        </is>
      </c>
      <c r="B8" s="17" t="n">
        <v>33</v>
      </c>
      <c r="C8" s="17" t="n">
        <v>7100</v>
      </c>
      <c r="D8" s="18" t="n">
        <v>3000</v>
      </c>
      <c r="E8" s="19" t="n">
        <v>702900000</v>
      </c>
    </row>
    <row r="9">
      <c r="A9" s="2" t="inlineStr">
        <is>
          <t>10K-20K</t>
        </is>
      </c>
      <c r="B9" s="17" t="n">
        <v>27</v>
      </c>
      <c r="C9" s="17" t="n">
        <v>14000</v>
      </c>
      <c r="D9" s="18" t="n">
        <v>3500</v>
      </c>
      <c r="E9" s="19" t="n">
        <v>1323000000</v>
      </c>
    </row>
    <row r="10">
      <c r="A10" s="2" t="inlineStr">
        <is>
          <t>20K-50K</t>
        </is>
      </c>
      <c r="B10" s="17" t="n">
        <v>22</v>
      </c>
      <c r="C10" s="17" t="n">
        <v>31000</v>
      </c>
      <c r="D10" s="18" t="n">
        <v>4200</v>
      </c>
      <c r="E10" s="19" t="n">
        <v>2864400000</v>
      </c>
    </row>
    <row r="11">
      <c r="A11" s="2" t="inlineStr">
        <is>
          <t>50K-100K</t>
        </is>
      </c>
      <c r="B11" s="17" t="n">
        <v>8</v>
      </c>
      <c r="C11" s="17" t="n">
        <v>70000</v>
      </c>
      <c r="D11" s="18" t="n">
        <v>4800</v>
      </c>
      <c r="E11" s="19" t="n">
        <v>2688000000</v>
      </c>
    </row>
    <row r="12">
      <c r="A12" s="2" t="inlineStr">
        <is>
          <t>100K+</t>
        </is>
      </c>
      <c r="B12" s="17" t="n">
        <v>5</v>
      </c>
      <c r="C12" s="17" t="n">
        <v>220000</v>
      </c>
      <c r="D12" s="18" t="n">
        <v>7000</v>
      </c>
      <c r="E12" s="19" t="n">
        <v>7700000000</v>
      </c>
    </row>
    <row r="13">
      <c r="A13" s="8" t="inlineStr">
        <is>
          <t xml:space="preserve">  Municipalities subtotal</t>
        </is>
      </c>
      <c r="B13" s="20" t="n">
        <v>271</v>
      </c>
      <c r="C13" s="21" t="n"/>
      <c r="D13" s="21" t="n"/>
      <c r="E13" s="22" t="n">
        <v>15910550000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4</v>
      </c>
      <c r="C17" s="17" t="n">
        <v>2700</v>
      </c>
      <c r="D17" s="18" t="n">
        <v>3300</v>
      </c>
      <c r="E17" s="19" t="n">
        <v>35640000</v>
      </c>
    </row>
    <row r="18">
      <c r="A18" s="2" t="inlineStr">
        <is>
          <t>5K-10K</t>
        </is>
      </c>
      <c r="B18" s="17" t="n">
        <v>5</v>
      </c>
      <c r="C18" s="17" t="n">
        <v>7100</v>
      </c>
      <c r="D18" s="18" t="n">
        <v>2900</v>
      </c>
      <c r="E18" s="19" t="n">
        <v>102950000</v>
      </c>
    </row>
    <row r="19">
      <c r="A19" s="2" t="inlineStr">
        <is>
          <t>10K-20K</t>
        </is>
      </c>
      <c r="B19" s="17" t="n">
        <v>8</v>
      </c>
      <c r="C19" s="17" t="n">
        <v>14000</v>
      </c>
      <c r="D19" s="18" t="n">
        <v>2700</v>
      </c>
      <c r="E19" s="19" t="n">
        <v>302400000</v>
      </c>
    </row>
    <row r="20">
      <c r="A20" s="2" t="inlineStr">
        <is>
          <t>20K-50K</t>
        </is>
      </c>
      <c r="B20" s="17" t="n">
        <v>12</v>
      </c>
      <c r="C20" s="17" t="n">
        <v>31000</v>
      </c>
      <c r="D20" s="18" t="n">
        <v>2900</v>
      </c>
      <c r="E20" s="19" t="n">
        <v>1078800000</v>
      </c>
    </row>
    <row r="21">
      <c r="A21" s="2" t="inlineStr">
        <is>
          <t>50K-100K</t>
        </is>
      </c>
      <c r="B21" s="17" t="n">
        <v>8</v>
      </c>
      <c r="C21" s="17" t="n">
        <v>70000</v>
      </c>
      <c r="D21" s="18" t="n">
        <v>3200</v>
      </c>
      <c r="E21" s="19" t="n">
        <v>1792000000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297</v>
      </c>
      <c r="D26" s="18" t="n">
        <v>7600000</v>
      </c>
      <c r="E26" s="19" t="n">
        <v>2257200000</v>
      </c>
    </row>
    <row r="27">
      <c r="A27" s="8" t="inlineStr">
        <is>
          <t xml:space="preserve">  Special Districts subtotal</t>
        </is>
      </c>
      <c r="B27" s="20" t="n">
        <v>297</v>
      </c>
      <c r="C27" s="21" t="n"/>
      <c r="D27" s="21" t="n"/>
      <c r="E27" s="22" t="n">
        <v>2257200000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SD — South Dakota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139</v>
      </c>
      <c r="C6" s="17" t="n">
        <v>450</v>
      </c>
      <c r="D6" s="18" t="n">
        <v>2000</v>
      </c>
      <c r="E6" s="19" t="n">
        <v>125100000</v>
      </c>
    </row>
    <row r="7">
      <c r="A7" s="2" t="inlineStr">
        <is>
          <t>1K-5K</t>
        </is>
      </c>
      <c r="B7" s="17" t="n">
        <v>100</v>
      </c>
      <c r="C7" s="17" t="n">
        <v>2700</v>
      </c>
      <c r="D7" s="18" t="n">
        <v>2500</v>
      </c>
      <c r="E7" s="19" t="n">
        <v>675000000</v>
      </c>
    </row>
    <row r="8">
      <c r="A8" s="2" t="inlineStr">
        <is>
          <t>5K-10K</t>
        </is>
      </c>
      <c r="B8" s="17" t="n">
        <v>32</v>
      </c>
      <c r="C8" s="17" t="n">
        <v>7100</v>
      </c>
      <c r="D8" s="18" t="n">
        <v>3000</v>
      </c>
      <c r="E8" s="19" t="n">
        <v>681600000</v>
      </c>
    </row>
    <row r="9">
      <c r="A9" s="2" t="inlineStr">
        <is>
          <t>10K-20K</t>
        </is>
      </c>
      <c r="B9" s="17" t="n">
        <v>22</v>
      </c>
      <c r="C9" s="17" t="n">
        <v>14000</v>
      </c>
      <c r="D9" s="18" t="n">
        <v>3500</v>
      </c>
      <c r="E9" s="19" t="n">
        <v>1078000000</v>
      </c>
    </row>
    <row r="10">
      <c r="A10" s="2" t="inlineStr">
        <is>
          <t>20K-50K</t>
        </is>
      </c>
      <c r="B10" s="17" t="n">
        <v>13</v>
      </c>
      <c r="C10" s="17" t="n">
        <v>31000</v>
      </c>
      <c r="D10" s="18" t="n">
        <v>4200</v>
      </c>
      <c r="E10" s="19" t="n">
        <v>1692600000</v>
      </c>
    </row>
    <row r="11">
      <c r="A11" s="2" t="inlineStr">
        <is>
          <t>50K-100K</t>
        </is>
      </c>
      <c r="B11" s="17" t="n">
        <v>3</v>
      </c>
      <c r="C11" s="17" t="n">
        <v>70000</v>
      </c>
      <c r="D11" s="18" t="n">
        <v>4800</v>
      </c>
      <c r="E11" s="19" t="n">
        <v>1008000000</v>
      </c>
    </row>
    <row r="12">
      <c r="A12" s="2" t="inlineStr">
        <is>
          <t>100K+</t>
        </is>
      </c>
      <c r="B12" s="17" t="n">
        <v>2</v>
      </c>
      <c r="C12" s="17" t="n">
        <v>220000</v>
      </c>
      <c r="D12" s="18" t="n">
        <v>7000</v>
      </c>
      <c r="E12" s="19" t="n">
        <v>3080000000</v>
      </c>
    </row>
    <row r="13">
      <c r="A13" s="8" t="inlineStr">
        <is>
          <t xml:space="preserve">  Municipalities subtotal</t>
        </is>
      </c>
      <c r="B13" s="20" t="n">
        <v>311</v>
      </c>
      <c r="C13" s="21" t="n"/>
      <c r="D13" s="21" t="n"/>
      <c r="E13" s="22" t="n">
        <v>8340300000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2</v>
      </c>
      <c r="C16" s="17" t="n">
        <v>450</v>
      </c>
      <c r="D16" s="18" t="n">
        <v>3500</v>
      </c>
      <c r="E16" s="19" t="n">
        <v>3150000</v>
      </c>
    </row>
    <row r="17">
      <c r="A17" s="2" t="inlineStr">
        <is>
          <t>1K-5K</t>
        </is>
      </c>
      <c r="B17" s="17" t="n">
        <v>10</v>
      </c>
      <c r="C17" s="17" t="n">
        <v>2700</v>
      </c>
      <c r="D17" s="18" t="n">
        <v>3300</v>
      </c>
      <c r="E17" s="19" t="n">
        <v>89100000</v>
      </c>
    </row>
    <row r="18">
      <c r="A18" s="2" t="inlineStr">
        <is>
          <t>5K-10K</t>
        </is>
      </c>
      <c r="B18" s="17" t="n">
        <v>11</v>
      </c>
      <c r="C18" s="17" t="n">
        <v>7100</v>
      </c>
      <c r="D18" s="18" t="n">
        <v>2900</v>
      </c>
      <c r="E18" s="19" t="n">
        <v>226490000</v>
      </c>
    </row>
    <row r="19">
      <c r="A19" s="2" t="inlineStr">
        <is>
          <t>10K-20K</t>
        </is>
      </c>
      <c r="B19" s="17" t="n">
        <v>14</v>
      </c>
      <c r="C19" s="17" t="n">
        <v>14000</v>
      </c>
      <c r="D19" s="18" t="n">
        <v>2700</v>
      </c>
      <c r="E19" s="19" t="n">
        <v>529200000</v>
      </c>
    </row>
    <row r="20">
      <c r="A20" s="2" t="inlineStr">
        <is>
          <t>20K-50K</t>
        </is>
      </c>
      <c r="B20" s="17" t="n">
        <v>16</v>
      </c>
      <c r="C20" s="17" t="n">
        <v>31000</v>
      </c>
      <c r="D20" s="18" t="n">
        <v>2900</v>
      </c>
      <c r="E20" s="19" t="n">
        <v>1438400000</v>
      </c>
    </row>
    <row r="21">
      <c r="A21" s="2" t="inlineStr">
        <is>
          <t>50K-100K</t>
        </is>
      </c>
      <c r="B21" s="17" t="n">
        <v>7</v>
      </c>
      <c r="C21" s="17" t="n">
        <v>70000</v>
      </c>
      <c r="D21" s="18" t="n">
        <v>3200</v>
      </c>
      <c r="E21" s="19" t="n">
        <v>1568000000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528</v>
      </c>
      <c r="C26" s="17" t="n">
        <v>450</v>
      </c>
      <c r="D26" s="18" t="n">
        <v>600</v>
      </c>
      <c r="E26" s="19" t="n">
        <v>142560000</v>
      </c>
    </row>
    <row r="27">
      <c r="A27" s="2" t="inlineStr">
        <is>
          <t>1K-5K</t>
        </is>
      </c>
      <c r="B27" s="17" t="n">
        <v>284</v>
      </c>
      <c r="C27" s="17" t="n">
        <v>2700</v>
      </c>
      <c r="D27" s="18" t="n">
        <v>800</v>
      </c>
      <c r="E27" s="19" t="n">
        <v>613440000</v>
      </c>
    </row>
    <row r="28">
      <c r="A28" s="2" t="inlineStr">
        <is>
          <t>5K-10K</t>
        </is>
      </c>
      <c r="B28" s="17" t="n">
        <v>64</v>
      </c>
      <c r="C28" s="17" t="n">
        <v>7100</v>
      </c>
      <c r="D28" s="18" t="n">
        <v>1100</v>
      </c>
      <c r="E28" s="19" t="n">
        <v>499840000</v>
      </c>
    </row>
    <row r="29">
      <c r="A29" s="2" t="inlineStr">
        <is>
          <t>10K-20K</t>
        </is>
      </c>
      <c r="B29" s="17" t="n">
        <v>29</v>
      </c>
      <c r="C29" s="17" t="n">
        <v>14000</v>
      </c>
      <c r="D29" s="18" t="n">
        <v>1400</v>
      </c>
      <c r="E29" s="19" t="n">
        <v>568400000</v>
      </c>
    </row>
    <row r="30">
      <c r="A30" s="2" t="inlineStr">
        <is>
          <t>20K-50K</t>
        </is>
      </c>
      <c r="B30" s="17" t="n">
        <v>13</v>
      </c>
      <c r="C30" s="17" t="n">
        <v>31000</v>
      </c>
      <c r="D30" s="18" t="n">
        <v>1600</v>
      </c>
      <c r="E30" s="19" t="n">
        <v>644800000</v>
      </c>
    </row>
    <row r="31">
      <c r="A31" s="2" t="inlineStr">
        <is>
          <t>50K-100K</t>
        </is>
      </c>
      <c r="B31" s="17" t="n">
        <v>3</v>
      </c>
      <c r="C31" s="17" t="n">
        <v>70000</v>
      </c>
      <c r="D31" s="18" t="n">
        <v>1700</v>
      </c>
      <c r="E31" s="19" t="n">
        <v>357000000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921</v>
      </c>
      <c r="C33" s="21" t="n"/>
      <c r="D33" s="21" t="n"/>
      <c r="E33" s="22" t="n">
        <v>2826040000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350</v>
      </c>
      <c r="D36" s="18" t="n">
        <v>7600000</v>
      </c>
      <c r="E36" s="19" t="n">
        <v>2660000000</v>
      </c>
    </row>
    <row r="37">
      <c r="A37" s="8" t="inlineStr">
        <is>
          <t xml:space="preserve">  Special Districts subtotal</t>
        </is>
      </c>
      <c r="B37" s="20" t="n">
        <v>350</v>
      </c>
      <c r="C37" s="21" t="n"/>
      <c r="D37" s="21" t="n"/>
      <c r="E37" s="22" t="n">
        <v>2660000000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TN — Tennessee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121</v>
      </c>
      <c r="C6" s="17" t="n">
        <v>450</v>
      </c>
      <c r="D6" s="18" t="n">
        <v>2000</v>
      </c>
      <c r="E6" s="19" t="n">
        <v>108900000</v>
      </c>
    </row>
    <row r="7">
      <c r="A7" s="2" t="inlineStr">
        <is>
          <t>1K-5K</t>
        </is>
      </c>
      <c r="B7" s="17" t="n">
        <v>103</v>
      </c>
      <c r="C7" s="17" t="n">
        <v>2700</v>
      </c>
      <c r="D7" s="18" t="n">
        <v>2500</v>
      </c>
      <c r="E7" s="19" t="n">
        <v>695250000</v>
      </c>
    </row>
    <row r="8">
      <c r="A8" s="2" t="inlineStr">
        <is>
          <t>5K-10K</t>
        </is>
      </c>
      <c r="B8" s="17" t="n">
        <v>41</v>
      </c>
      <c r="C8" s="17" t="n">
        <v>7100</v>
      </c>
      <c r="D8" s="18" t="n">
        <v>3000</v>
      </c>
      <c r="E8" s="19" t="n">
        <v>873300000</v>
      </c>
    </row>
    <row r="9">
      <c r="A9" s="2" t="inlineStr">
        <is>
          <t>10K-20K</t>
        </is>
      </c>
      <c r="B9" s="17" t="n">
        <v>35</v>
      </c>
      <c r="C9" s="17" t="n">
        <v>14000</v>
      </c>
      <c r="D9" s="18" t="n">
        <v>3500</v>
      </c>
      <c r="E9" s="19" t="n">
        <v>1715000000</v>
      </c>
    </row>
    <row r="10">
      <c r="A10" s="2" t="inlineStr">
        <is>
          <t>20K-50K</t>
        </is>
      </c>
      <c r="B10" s="17" t="n">
        <v>28</v>
      </c>
      <c r="C10" s="17" t="n">
        <v>31000</v>
      </c>
      <c r="D10" s="18" t="n">
        <v>4200</v>
      </c>
      <c r="E10" s="19" t="n">
        <v>3645600000</v>
      </c>
    </row>
    <row r="11">
      <c r="A11" s="2" t="inlineStr">
        <is>
          <t>50K-100K</t>
        </is>
      </c>
      <c r="B11" s="17" t="n">
        <v>10</v>
      </c>
      <c r="C11" s="17" t="n">
        <v>70000</v>
      </c>
      <c r="D11" s="18" t="n">
        <v>4800</v>
      </c>
      <c r="E11" s="19" t="n">
        <v>3360000000</v>
      </c>
    </row>
    <row r="12">
      <c r="A12" s="2" t="inlineStr">
        <is>
          <t>100K+</t>
        </is>
      </c>
      <c r="B12" s="17" t="n">
        <v>7</v>
      </c>
      <c r="C12" s="17" t="n">
        <v>220000</v>
      </c>
      <c r="D12" s="18" t="n">
        <v>7000</v>
      </c>
      <c r="E12" s="19" t="n">
        <v>10780000000</v>
      </c>
    </row>
    <row r="13">
      <c r="A13" s="8" t="inlineStr">
        <is>
          <t xml:space="preserve">  Municipalities subtotal</t>
        </is>
      </c>
      <c r="B13" s="20" t="n">
        <v>345</v>
      </c>
      <c r="C13" s="21" t="n"/>
      <c r="D13" s="21" t="n"/>
      <c r="E13" s="22" t="n">
        <v>21178050000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7</v>
      </c>
      <c r="C17" s="17" t="n">
        <v>2700</v>
      </c>
      <c r="D17" s="18" t="n">
        <v>3300</v>
      </c>
      <c r="E17" s="19" t="n">
        <v>62370000</v>
      </c>
    </row>
    <row r="18">
      <c r="A18" s="2" t="inlineStr">
        <is>
          <t>5K-10K</t>
        </is>
      </c>
      <c r="B18" s="17" t="n">
        <v>10</v>
      </c>
      <c r="C18" s="17" t="n">
        <v>7100</v>
      </c>
      <c r="D18" s="18" t="n">
        <v>2900</v>
      </c>
      <c r="E18" s="19" t="n">
        <v>205900000</v>
      </c>
    </row>
    <row r="19">
      <c r="A19" s="2" t="inlineStr">
        <is>
          <t>10K-20K</t>
        </is>
      </c>
      <c r="B19" s="17" t="n">
        <v>16</v>
      </c>
      <c r="C19" s="17" t="n">
        <v>14000</v>
      </c>
      <c r="D19" s="18" t="n">
        <v>2700</v>
      </c>
      <c r="E19" s="19" t="n">
        <v>604800000</v>
      </c>
    </row>
    <row r="20">
      <c r="A20" s="2" t="inlineStr">
        <is>
          <t>20K-50K</t>
        </is>
      </c>
      <c r="B20" s="17" t="n">
        <v>24</v>
      </c>
      <c r="C20" s="17" t="n">
        <v>31000</v>
      </c>
      <c r="D20" s="18" t="n">
        <v>2900</v>
      </c>
      <c r="E20" s="19" t="n">
        <v>2157600000</v>
      </c>
    </row>
    <row r="21">
      <c r="A21" s="2" t="inlineStr">
        <is>
          <t>50K-100K</t>
        </is>
      </c>
      <c r="B21" s="17" t="n">
        <v>16</v>
      </c>
      <c r="C21" s="17" t="n">
        <v>70000</v>
      </c>
      <c r="D21" s="18" t="n">
        <v>3200</v>
      </c>
      <c r="E21" s="19" t="n">
        <v>3584000000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525</v>
      </c>
      <c r="D26" s="18" t="n">
        <v>7600000</v>
      </c>
      <c r="E26" s="19" t="n">
        <v>3990000000</v>
      </c>
    </row>
    <row r="27">
      <c r="A27" s="8" t="inlineStr">
        <is>
          <t xml:space="preserve">  Special Districts subtotal</t>
        </is>
      </c>
      <c r="B27" s="20" t="n">
        <v>525</v>
      </c>
      <c r="C27" s="21" t="n"/>
      <c r="D27" s="21" t="n"/>
      <c r="E27" s="22" t="n">
        <v>3990000000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TX — Texas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364</v>
      </c>
      <c r="C6" s="17" t="n">
        <v>450</v>
      </c>
      <c r="D6" s="18" t="n">
        <v>2000</v>
      </c>
      <c r="E6" s="19" t="n">
        <v>327600000</v>
      </c>
    </row>
    <row r="7">
      <c r="A7" s="2" t="inlineStr">
        <is>
          <t>1K-5K</t>
        </is>
      </c>
      <c r="B7" s="17" t="n">
        <v>351</v>
      </c>
      <c r="C7" s="17" t="n">
        <v>2700</v>
      </c>
      <c r="D7" s="18" t="n">
        <v>2500</v>
      </c>
      <c r="E7" s="19" t="n">
        <v>2369250000</v>
      </c>
    </row>
    <row r="8">
      <c r="A8" s="2" t="inlineStr">
        <is>
          <t>5K-10K</t>
        </is>
      </c>
      <c r="B8" s="17" t="n">
        <v>156</v>
      </c>
      <c r="C8" s="17" t="n">
        <v>7100</v>
      </c>
      <c r="D8" s="18" t="n">
        <v>3000</v>
      </c>
      <c r="E8" s="19" t="n">
        <v>3322800000</v>
      </c>
    </row>
    <row r="9">
      <c r="A9" s="2" t="inlineStr">
        <is>
          <t>10K-20K</t>
        </is>
      </c>
      <c r="B9" s="17" t="n">
        <v>136</v>
      </c>
      <c r="C9" s="17" t="n">
        <v>14000</v>
      </c>
      <c r="D9" s="18" t="n">
        <v>3500</v>
      </c>
      <c r="E9" s="19" t="n">
        <v>6664000000</v>
      </c>
    </row>
    <row r="10">
      <c r="A10" s="2" t="inlineStr">
        <is>
          <t>20K-50K</t>
        </is>
      </c>
      <c r="B10" s="17" t="n">
        <v>125</v>
      </c>
      <c r="C10" s="17" t="n">
        <v>31000</v>
      </c>
      <c r="D10" s="18" t="n">
        <v>4200</v>
      </c>
      <c r="E10" s="19" t="n">
        <v>16275000000</v>
      </c>
    </row>
    <row r="11">
      <c r="A11" s="2" t="inlineStr">
        <is>
          <t>50K-100K</t>
        </is>
      </c>
      <c r="B11" s="17" t="n">
        <v>51</v>
      </c>
      <c r="C11" s="17" t="n">
        <v>70000</v>
      </c>
      <c r="D11" s="18" t="n">
        <v>4800</v>
      </c>
      <c r="E11" s="19" t="n">
        <v>17136000000</v>
      </c>
    </row>
    <row r="12">
      <c r="A12" s="2" t="inlineStr">
        <is>
          <t>100K+</t>
        </is>
      </c>
      <c r="B12" s="17" t="n">
        <v>38</v>
      </c>
      <c r="C12" s="17" t="n">
        <v>220000</v>
      </c>
      <c r="D12" s="18" t="n">
        <v>7000</v>
      </c>
      <c r="E12" s="19" t="n">
        <v>58520000000</v>
      </c>
    </row>
    <row r="13">
      <c r="A13" s="8" t="inlineStr">
        <is>
          <t xml:space="preserve">  Municipalities subtotal</t>
        </is>
      </c>
      <c r="B13" s="20" t="n">
        <v>1221</v>
      </c>
      <c r="C13" s="21" t="n"/>
      <c r="D13" s="21" t="n"/>
      <c r="E13" s="22" t="n">
        <v>104614650000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2</v>
      </c>
      <c r="C16" s="17" t="n">
        <v>450</v>
      </c>
      <c r="D16" s="18" t="n">
        <v>3500</v>
      </c>
      <c r="E16" s="19" t="n">
        <v>3150000</v>
      </c>
    </row>
    <row r="17">
      <c r="A17" s="2" t="inlineStr">
        <is>
          <t>1K-5K</t>
        </is>
      </c>
      <c r="B17" s="17" t="n">
        <v>15</v>
      </c>
      <c r="C17" s="17" t="n">
        <v>2700</v>
      </c>
      <c r="D17" s="18" t="n">
        <v>3300</v>
      </c>
      <c r="E17" s="19" t="n">
        <v>133650000</v>
      </c>
    </row>
    <row r="18">
      <c r="A18" s="2" t="inlineStr">
        <is>
          <t>5K-10K</t>
        </is>
      </c>
      <c r="B18" s="17" t="n">
        <v>23</v>
      </c>
      <c r="C18" s="17" t="n">
        <v>7100</v>
      </c>
      <c r="D18" s="18" t="n">
        <v>2900</v>
      </c>
      <c r="E18" s="19" t="n">
        <v>473570000</v>
      </c>
    </row>
    <row r="19">
      <c r="A19" s="2" t="inlineStr">
        <is>
          <t>10K-20K</t>
        </is>
      </c>
      <c r="B19" s="17" t="n">
        <v>38</v>
      </c>
      <c r="C19" s="17" t="n">
        <v>14000</v>
      </c>
      <c r="D19" s="18" t="n">
        <v>2700</v>
      </c>
      <c r="E19" s="19" t="n">
        <v>1436400000</v>
      </c>
    </row>
    <row r="20">
      <c r="A20" s="2" t="inlineStr">
        <is>
          <t>20K-50K</t>
        </is>
      </c>
      <c r="B20" s="17" t="n">
        <v>67</v>
      </c>
      <c r="C20" s="17" t="n">
        <v>31000</v>
      </c>
      <c r="D20" s="18" t="n">
        <v>2900</v>
      </c>
      <c r="E20" s="19" t="n">
        <v>6023300000</v>
      </c>
    </row>
    <row r="21">
      <c r="A21" s="2" t="inlineStr">
        <is>
          <t>50K-100K</t>
        </is>
      </c>
      <c r="B21" s="17" t="n">
        <v>47</v>
      </c>
      <c r="C21" s="17" t="n">
        <v>70000</v>
      </c>
      <c r="D21" s="18" t="n">
        <v>3200</v>
      </c>
      <c r="E21" s="19" t="n">
        <v>10528000000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3100</v>
      </c>
      <c r="D26" s="18" t="n">
        <v>7600000</v>
      </c>
      <c r="E26" s="19" t="n">
        <v>23560000000</v>
      </c>
    </row>
    <row r="27">
      <c r="A27" s="8" t="inlineStr">
        <is>
          <t xml:space="preserve">  Special Districts subtotal</t>
        </is>
      </c>
      <c r="B27" s="20" t="n">
        <v>3100</v>
      </c>
      <c r="C27" s="21" t="n"/>
      <c r="D27" s="21" t="n"/>
      <c r="E27" s="22" t="n">
        <v>23560000000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UT — Utah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74</v>
      </c>
      <c r="C6" s="17" t="n">
        <v>450</v>
      </c>
      <c r="D6" s="18" t="n">
        <v>2000</v>
      </c>
      <c r="E6" s="19" t="n">
        <v>66600000</v>
      </c>
    </row>
    <row r="7">
      <c r="A7" s="2" t="inlineStr">
        <is>
          <t>1K-5K</t>
        </is>
      </c>
      <c r="B7" s="17" t="n">
        <v>71</v>
      </c>
      <c r="C7" s="17" t="n">
        <v>2700</v>
      </c>
      <c r="D7" s="18" t="n">
        <v>2500</v>
      </c>
      <c r="E7" s="19" t="n">
        <v>479250000</v>
      </c>
    </row>
    <row r="8">
      <c r="A8" s="2" t="inlineStr">
        <is>
          <t>5K-10K</t>
        </is>
      </c>
      <c r="B8" s="17" t="n">
        <v>32</v>
      </c>
      <c r="C8" s="17" t="n">
        <v>7100</v>
      </c>
      <c r="D8" s="18" t="n">
        <v>3000</v>
      </c>
      <c r="E8" s="19" t="n">
        <v>681600000</v>
      </c>
    </row>
    <row r="9">
      <c r="A9" s="2" t="inlineStr">
        <is>
          <t>10K-20K</t>
        </is>
      </c>
      <c r="B9" s="17" t="n">
        <v>28</v>
      </c>
      <c r="C9" s="17" t="n">
        <v>14000</v>
      </c>
      <c r="D9" s="18" t="n">
        <v>3500</v>
      </c>
      <c r="E9" s="19" t="n">
        <v>1372000000</v>
      </c>
    </row>
    <row r="10">
      <c r="A10" s="2" t="inlineStr">
        <is>
          <t>20K-50K</t>
        </is>
      </c>
      <c r="B10" s="17" t="n">
        <v>25</v>
      </c>
      <c r="C10" s="17" t="n">
        <v>31000</v>
      </c>
      <c r="D10" s="18" t="n">
        <v>4200</v>
      </c>
      <c r="E10" s="19" t="n">
        <v>3255000000</v>
      </c>
    </row>
    <row r="11">
      <c r="A11" s="2" t="inlineStr">
        <is>
          <t>50K-100K</t>
        </is>
      </c>
      <c r="B11" s="17" t="n">
        <v>10</v>
      </c>
      <c r="C11" s="17" t="n">
        <v>70000</v>
      </c>
      <c r="D11" s="18" t="n">
        <v>4800</v>
      </c>
      <c r="E11" s="19" t="n">
        <v>3360000000</v>
      </c>
    </row>
    <row r="12">
      <c r="A12" s="2" t="inlineStr">
        <is>
          <t>100K+</t>
        </is>
      </c>
      <c r="B12" s="17" t="n">
        <v>8</v>
      </c>
      <c r="C12" s="17" t="n">
        <v>220000</v>
      </c>
      <c r="D12" s="18" t="n">
        <v>7000</v>
      </c>
      <c r="E12" s="19" t="n">
        <v>12320000000</v>
      </c>
    </row>
    <row r="13">
      <c r="A13" s="8" t="inlineStr">
        <is>
          <t xml:space="preserve">  Municipalities subtotal</t>
        </is>
      </c>
      <c r="B13" s="20" t="n">
        <v>248</v>
      </c>
      <c r="C13" s="21" t="n"/>
      <c r="D13" s="21" t="n"/>
      <c r="E13" s="22" t="n">
        <v>21534450000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2</v>
      </c>
      <c r="C17" s="17" t="n">
        <v>2700</v>
      </c>
      <c r="D17" s="18" t="n">
        <v>3300</v>
      </c>
      <c r="E17" s="19" t="n">
        <v>17820000</v>
      </c>
    </row>
    <row r="18">
      <c r="A18" s="2" t="inlineStr">
        <is>
          <t>5K-10K</t>
        </is>
      </c>
      <c r="B18" s="17" t="n">
        <v>3</v>
      </c>
      <c r="C18" s="17" t="n">
        <v>7100</v>
      </c>
      <c r="D18" s="18" t="n">
        <v>2900</v>
      </c>
      <c r="E18" s="19" t="n">
        <v>61770000</v>
      </c>
    </row>
    <row r="19">
      <c r="A19" s="2" t="inlineStr">
        <is>
          <t>10K-20K</t>
        </is>
      </c>
      <c r="B19" s="17" t="n">
        <v>4</v>
      </c>
      <c r="C19" s="17" t="n">
        <v>14000</v>
      </c>
      <c r="D19" s="18" t="n">
        <v>2700</v>
      </c>
      <c r="E19" s="19" t="n">
        <v>151200000</v>
      </c>
    </row>
    <row r="20">
      <c r="A20" s="2" t="inlineStr">
        <is>
          <t>20K-50K</t>
        </is>
      </c>
      <c r="B20" s="17" t="n">
        <v>8</v>
      </c>
      <c r="C20" s="17" t="n">
        <v>31000</v>
      </c>
      <c r="D20" s="18" t="n">
        <v>2900</v>
      </c>
      <c r="E20" s="19" t="n">
        <v>719200000</v>
      </c>
    </row>
    <row r="21">
      <c r="A21" s="2" t="inlineStr">
        <is>
          <t>50K-100K</t>
        </is>
      </c>
      <c r="B21" s="17" t="n">
        <v>5</v>
      </c>
      <c r="C21" s="17" t="n">
        <v>70000</v>
      </c>
      <c r="D21" s="18" t="n">
        <v>3200</v>
      </c>
      <c r="E21" s="19" t="n">
        <v>1120000000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1129</v>
      </c>
      <c r="D26" s="18" t="n">
        <v>7600000</v>
      </c>
      <c r="E26" s="19" t="n">
        <v>8580400000</v>
      </c>
    </row>
    <row r="27">
      <c r="A27" s="8" t="inlineStr">
        <is>
          <t xml:space="preserve">  Special Districts subtotal</t>
        </is>
      </c>
      <c r="B27" s="20" t="n">
        <v>1129</v>
      </c>
      <c r="C27" s="21" t="n"/>
      <c r="D27" s="21" t="n"/>
      <c r="E27" s="22" t="n">
        <v>8580400000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VT — Vermont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21</v>
      </c>
      <c r="C6" s="17" t="n">
        <v>450</v>
      </c>
      <c r="D6" s="18" t="n">
        <v>2000</v>
      </c>
      <c r="E6" s="19" t="n">
        <v>18900000</v>
      </c>
    </row>
    <row r="7">
      <c r="A7" s="2" t="inlineStr">
        <is>
          <t>1K-5K</t>
        </is>
      </c>
      <c r="B7" s="17" t="n">
        <v>15</v>
      </c>
      <c r="C7" s="17" t="n">
        <v>2700</v>
      </c>
      <c r="D7" s="18" t="n">
        <v>2500</v>
      </c>
      <c r="E7" s="19" t="n">
        <v>101250000</v>
      </c>
    </row>
    <row r="8">
      <c r="A8" s="2" t="inlineStr">
        <is>
          <t>5K-10K</t>
        </is>
      </c>
      <c r="B8" s="17" t="n">
        <v>5</v>
      </c>
      <c r="C8" s="17" t="n">
        <v>7100</v>
      </c>
      <c r="D8" s="18" t="n">
        <v>3000</v>
      </c>
      <c r="E8" s="19" t="n">
        <v>106500000</v>
      </c>
    </row>
    <row r="9">
      <c r="A9" s="2" t="inlineStr">
        <is>
          <t>10K-20K</t>
        </is>
      </c>
      <c r="B9" s="17" t="n">
        <v>3</v>
      </c>
      <c r="C9" s="17" t="n">
        <v>14000</v>
      </c>
      <c r="D9" s="18" t="n">
        <v>3500</v>
      </c>
      <c r="E9" s="19" t="n">
        <v>147000000</v>
      </c>
    </row>
    <row r="10">
      <c r="A10" s="2" t="inlineStr">
        <is>
          <t>20K-50K</t>
        </is>
      </c>
      <c r="B10" s="17" t="n">
        <v>2</v>
      </c>
      <c r="C10" s="17" t="n">
        <v>31000</v>
      </c>
      <c r="D10" s="18" t="n">
        <v>4200</v>
      </c>
      <c r="E10" s="19" t="n">
        <v>260400000</v>
      </c>
    </row>
    <row r="11">
      <c r="A11" s="2" t="inlineStr">
        <is>
          <t>50K-100K</t>
        </is>
      </c>
      <c r="B11" s="17" t="n">
        <v>1</v>
      </c>
      <c r="C11" s="17" t="n">
        <v>70000</v>
      </c>
      <c r="D11" s="18" t="n">
        <v>4800</v>
      </c>
      <c r="E11" s="19" t="n">
        <v>336000000</v>
      </c>
    </row>
    <row r="12">
      <c r="A12" s="2" t="inlineStr">
        <is>
          <t>100K+</t>
        </is>
      </c>
      <c r="B12" s="17" t="n">
        <v>0</v>
      </c>
      <c r="C12" s="17" t="n">
        <v>220000</v>
      </c>
      <c r="D12" s="18" t="n">
        <v>7000</v>
      </c>
      <c r="E12" s="19" t="n">
        <v>0</v>
      </c>
    </row>
    <row r="13">
      <c r="A13" s="8" t="inlineStr">
        <is>
          <t xml:space="preserve">  Municipalities subtotal</t>
        </is>
      </c>
      <c r="B13" s="20" t="n">
        <v>47</v>
      </c>
      <c r="C13" s="21" t="n"/>
      <c r="D13" s="21" t="n"/>
      <c r="E13" s="22" t="n">
        <v>970050000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2</v>
      </c>
      <c r="C17" s="17" t="n">
        <v>2700</v>
      </c>
      <c r="D17" s="18" t="n">
        <v>3300</v>
      </c>
      <c r="E17" s="19" t="n">
        <v>17820000</v>
      </c>
    </row>
    <row r="18">
      <c r="A18" s="2" t="inlineStr">
        <is>
          <t>5K-10K</t>
        </is>
      </c>
      <c r="B18" s="17" t="n">
        <v>2</v>
      </c>
      <c r="C18" s="17" t="n">
        <v>7100</v>
      </c>
      <c r="D18" s="18" t="n">
        <v>2900</v>
      </c>
      <c r="E18" s="19" t="n">
        <v>41180000</v>
      </c>
    </row>
    <row r="19">
      <c r="A19" s="2" t="inlineStr">
        <is>
          <t>10K-20K</t>
        </is>
      </c>
      <c r="B19" s="17" t="n">
        <v>3</v>
      </c>
      <c r="C19" s="17" t="n">
        <v>14000</v>
      </c>
      <c r="D19" s="18" t="n">
        <v>2700</v>
      </c>
      <c r="E19" s="19" t="n">
        <v>113400000</v>
      </c>
    </row>
    <row r="20">
      <c r="A20" s="2" t="inlineStr">
        <is>
          <t>20K-50K</t>
        </is>
      </c>
      <c r="B20" s="17" t="n">
        <v>4</v>
      </c>
      <c r="C20" s="17" t="n">
        <v>31000</v>
      </c>
      <c r="D20" s="18" t="n">
        <v>2900</v>
      </c>
      <c r="E20" s="19" t="n">
        <v>359600000</v>
      </c>
    </row>
    <row r="21">
      <c r="A21" s="2" t="inlineStr">
        <is>
          <t>50K-100K</t>
        </is>
      </c>
      <c r="B21" s="17" t="n">
        <v>2</v>
      </c>
      <c r="C21" s="17" t="n">
        <v>70000</v>
      </c>
      <c r="D21" s="18" t="n">
        <v>3200</v>
      </c>
      <c r="E21" s="19" t="n">
        <v>448000000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136</v>
      </c>
      <c r="C26" s="17" t="n">
        <v>450</v>
      </c>
      <c r="D26" s="18" t="n">
        <v>600</v>
      </c>
      <c r="E26" s="19" t="n">
        <v>36720000</v>
      </c>
    </row>
    <row r="27">
      <c r="A27" s="2" t="inlineStr">
        <is>
          <t>1K-5K</t>
        </is>
      </c>
      <c r="B27" s="17" t="n">
        <v>73</v>
      </c>
      <c r="C27" s="17" t="n">
        <v>2700</v>
      </c>
      <c r="D27" s="18" t="n">
        <v>800</v>
      </c>
      <c r="E27" s="19" t="n">
        <v>157680000</v>
      </c>
    </row>
    <row r="28">
      <c r="A28" s="2" t="inlineStr">
        <is>
          <t>5K-10K</t>
        </is>
      </c>
      <c r="B28" s="17" t="n">
        <v>17</v>
      </c>
      <c r="C28" s="17" t="n">
        <v>7100</v>
      </c>
      <c r="D28" s="18" t="n">
        <v>1100</v>
      </c>
      <c r="E28" s="19" t="n">
        <v>132770000</v>
      </c>
    </row>
    <row r="29">
      <c r="A29" s="2" t="inlineStr">
        <is>
          <t>10K-20K</t>
        </is>
      </c>
      <c r="B29" s="17" t="n">
        <v>7</v>
      </c>
      <c r="C29" s="17" t="n">
        <v>14000</v>
      </c>
      <c r="D29" s="18" t="n">
        <v>1400</v>
      </c>
      <c r="E29" s="19" t="n">
        <v>137200000</v>
      </c>
    </row>
    <row r="30">
      <c r="A30" s="2" t="inlineStr">
        <is>
          <t>20K-50K</t>
        </is>
      </c>
      <c r="B30" s="17" t="n">
        <v>3</v>
      </c>
      <c r="C30" s="17" t="n">
        <v>31000</v>
      </c>
      <c r="D30" s="18" t="n">
        <v>1600</v>
      </c>
      <c r="E30" s="19" t="n">
        <v>148800000</v>
      </c>
    </row>
    <row r="31">
      <c r="A31" s="2" t="inlineStr">
        <is>
          <t>50K-100K</t>
        </is>
      </c>
      <c r="B31" s="17" t="n">
        <v>1</v>
      </c>
      <c r="C31" s="17" t="n">
        <v>70000</v>
      </c>
      <c r="D31" s="18" t="n">
        <v>1700</v>
      </c>
      <c r="E31" s="19" t="n">
        <v>119000000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237</v>
      </c>
      <c r="C33" s="21" t="n"/>
      <c r="D33" s="21" t="n"/>
      <c r="E33" s="22" t="n">
        <v>732170000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156</v>
      </c>
      <c r="D36" s="18" t="n">
        <v>7600000</v>
      </c>
      <c r="E36" s="19" t="n">
        <v>1185600000</v>
      </c>
    </row>
    <row r="37">
      <c r="A37" s="8" t="inlineStr">
        <is>
          <t xml:space="preserve">  Special Districts subtotal</t>
        </is>
      </c>
      <c r="B37" s="20" t="n">
        <v>156</v>
      </c>
      <c r="C37" s="21" t="n"/>
      <c r="D37" s="21" t="n"/>
      <c r="E37" s="22" t="n">
        <v>1185600000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VA — Virginia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80</v>
      </c>
      <c r="C6" s="17" t="n">
        <v>450</v>
      </c>
      <c r="D6" s="18" t="n">
        <v>2000</v>
      </c>
      <c r="E6" s="19" t="n">
        <v>72000000</v>
      </c>
    </row>
    <row r="7">
      <c r="A7" s="2" t="inlineStr">
        <is>
          <t>1K-5K</t>
        </is>
      </c>
      <c r="B7" s="17" t="n">
        <v>69</v>
      </c>
      <c r="C7" s="17" t="n">
        <v>2700</v>
      </c>
      <c r="D7" s="18" t="n">
        <v>2500</v>
      </c>
      <c r="E7" s="19" t="n">
        <v>465750000</v>
      </c>
    </row>
    <row r="8">
      <c r="A8" s="2" t="inlineStr">
        <is>
          <t>5K-10K</t>
        </is>
      </c>
      <c r="B8" s="17" t="n">
        <v>27</v>
      </c>
      <c r="C8" s="17" t="n">
        <v>7100</v>
      </c>
      <c r="D8" s="18" t="n">
        <v>3000</v>
      </c>
      <c r="E8" s="19" t="n">
        <v>575100000</v>
      </c>
    </row>
    <row r="9">
      <c r="A9" s="2" t="inlineStr">
        <is>
          <t>10K-20K</t>
        </is>
      </c>
      <c r="B9" s="17" t="n">
        <v>23</v>
      </c>
      <c r="C9" s="17" t="n">
        <v>14000</v>
      </c>
      <c r="D9" s="18" t="n">
        <v>3500</v>
      </c>
      <c r="E9" s="19" t="n">
        <v>1127000000</v>
      </c>
    </row>
    <row r="10">
      <c r="A10" s="2" t="inlineStr">
        <is>
          <t>20K-50K</t>
        </is>
      </c>
      <c r="B10" s="17" t="n">
        <v>18</v>
      </c>
      <c r="C10" s="17" t="n">
        <v>31000</v>
      </c>
      <c r="D10" s="18" t="n">
        <v>4200</v>
      </c>
      <c r="E10" s="19" t="n">
        <v>2343600000</v>
      </c>
    </row>
    <row r="11">
      <c r="A11" s="2" t="inlineStr">
        <is>
          <t>50K-100K</t>
        </is>
      </c>
      <c r="B11" s="17" t="n">
        <v>7</v>
      </c>
      <c r="C11" s="17" t="n">
        <v>70000</v>
      </c>
      <c r="D11" s="18" t="n">
        <v>4800</v>
      </c>
      <c r="E11" s="19" t="n">
        <v>2352000000</v>
      </c>
    </row>
    <row r="12">
      <c r="A12" s="2" t="inlineStr">
        <is>
          <t>100K+</t>
        </is>
      </c>
      <c r="B12" s="17" t="n">
        <v>5</v>
      </c>
      <c r="C12" s="17" t="n">
        <v>220000</v>
      </c>
      <c r="D12" s="18" t="n">
        <v>7000</v>
      </c>
      <c r="E12" s="19" t="n">
        <v>7700000000</v>
      </c>
    </row>
    <row r="13">
      <c r="A13" s="8" t="inlineStr">
        <is>
          <t xml:space="preserve">  Municipalities subtotal</t>
        </is>
      </c>
      <c r="B13" s="20" t="n">
        <v>229</v>
      </c>
      <c r="C13" s="21" t="n"/>
      <c r="D13" s="21" t="n"/>
      <c r="E13" s="22" t="n">
        <v>14635450000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8</v>
      </c>
      <c r="C17" s="17" t="n">
        <v>2700</v>
      </c>
      <c r="D17" s="18" t="n">
        <v>3300</v>
      </c>
      <c r="E17" s="19" t="n">
        <v>71280000</v>
      </c>
    </row>
    <row r="18">
      <c r="A18" s="2" t="inlineStr">
        <is>
          <t>5K-10K</t>
        </is>
      </c>
      <c r="B18" s="17" t="n">
        <v>10</v>
      </c>
      <c r="C18" s="17" t="n">
        <v>7100</v>
      </c>
      <c r="D18" s="18" t="n">
        <v>2900</v>
      </c>
      <c r="E18" s="19" t="n">
        <v>205900000</v>
      </c>
    </row>
    <row r="19">
      <c r="A19" s="2" t="inlineStr">
        <is>
          <t>10K-20K</t>
        </is>
      </c>
      <c r="B19" s="17" t="n">
        <v>16</v>
      </c>
      <c r="C19" s="17" t="n">
        <v>14000</v>
      </c>
      <c r="D19" s="18" t="n">
        <v>2700</v>
      </c>
      <c r="E19" s="19" t="n">
        <v>604800000</v>
      </c>
    </row>
    <row r="20">
      <c r="A20" s="2" t="inlineStr">
        <is>
          <t>20K-50K</t>
        </is>
      </c>
      <c r="B20" s="17" t="n">
        <v>25</v>
      </c>
      <c r="C20" s="17" t="n">
        <v>31000</v>
      </c>
      <c r="D20" s="18" t="n">
        <v>2900</v>
      </c>
      <c r="E20" s="19" t="n">
        <v>2247500000</v>
      </c>
    </row>
    <row r="21">
      <c r="A21" s="2" t="inlineStr">
        <is>
          <t>50K-100K</t>
        </is>
      </c>
      <c r="B21" s="17" t="n">
        <v>16</v>
      </c>
      <c r="C21" s="17" t="n">
        <v>70000</v>
      </c>
      <c r="D21" s="18" t="n">
        <v>3200</v>
      </c>
      <c r="E21" s="19" t="n">
        <v>3584000000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195</v>
      </c>
      <c r="D26" s="18" t="n">
        <v>7600000</v>
      </c>
      <c r="E26" s="19" t="n">
        <v>1482000000</v>
      </c>
    </row>
    <row r="27">
      <c r="A27" s="8" t="inlineStr">
        <is>
          <t xml:space="preserve">  Special Districts subtotal</t>
        </is>
      </c>
      <c r="B27" s="20" t="n">
        <v>195</v>
      </c>
      <c r="C27" s="21" t="n"/>
      <c r="D27" s="21" t="n"/>
      <c r="E27" s="22" t="n">
        <v>1482000000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WA — Washington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84</v>
      </c>
      <c r="C6" s="17" t="n">
        <v>450</v>
      </c>
      <c r="D6" s="18" t="n">
        <v>2000</v>
      </c>
      <c r="E6" s="19" t="n">
        <v>75600000</v>
      </c>
    </row>
    <row r="7">
      <c r="A7" s="2" t="inlineStr">
        <is>
          <t>1K-5K</t>
        </is>
      </c>
      <c r="B7" s="17" t="n">
        <v>81</v>
      </c>
      <c r="C7" s="17" t="n">
        <v>2700</v>
      </c>
      <c r="D7" s="18" t="n">
        <v>2500</v>
      </c>
      <c r="E7" s="19" t="n">
        <v>546750000</v>
      </c>
    </row>
    <row r="8">
      <c r="A8" s="2" t="inlineStr">
        <is>
          <t>5K-10K</t>
        </is>
      </c>
      <c r="B8" s="17" t="n">
        <v>36</v>
      </c>
      <c r="C8" s="17" t="n">
        <v>7100</v>
      </c>
      <c r="D8" s="18" t="n">
        <v>3000</v>
      </c>
      <c r="E8" s="19" t="n">
        <v>766800000</v>
      </c>
    </row>
    <row r="9">
      <c r="A9" s="2" t="inlineStr">
        <is>
          <t>10K-20K</t>
        </is>
      </c>
      <c r="B9" s="17" t="n">
        <v>31</v>
      </c>
      <c r="C9" s="17" t="n">
        <v>14000</v>
      </c>
      <c r="D9" s="18" t="n">
        <v>3500</v>
      </c>
      <c r="E9" s="19" t="n">
        <v>1519000000</v>
      </c>
    </row>
    <row r="10">
      <c r="A10" s="2" t="inlineStr">
        <is>
          <t>20K-50K</t>
        </is>
      </c>
      <c r="B10" s="17" t="n">
        <v>29</v>
      </c>
      <c r="C10" s="17" t="n">
        <v>31000</v>
      </c>
      <c r="D10" s="18" t="n">
        <v>4200</v>
      </c>
      <c r="E10" s="19" t="n">
        <v>3775800000</v>
      </c>
    </row>
    <row r="11">
      <c r="A11" s="2" t="inlineStr">
        <is>
          <t>50K-100K</t>
        </is>
      </c>
      <c r="B11" s="17" t="n">
        <v>11</v>
      </c>
      <c r="C11" s="17" t="n">
        <v>70000</v>
      </c>
      <c r="D11" s="18" t="n">
        <v>4800</v>
      </c>
      <c r="E11" s="19" t="n">
        <v>3696000000</v>
      </c>
    </row>
    <row r="12">
      <c r="A12" s="2" t="inlineStr">
        <is>
          <t>100K+</t>
        </is>
      </c>
      <c r="B12" s="17" t="n">
        <v>9</v>
      </c>
      <c r="C12" s="17" t="n">
        <v>220000</v>
      </c>
      <c r="D12" s="18" t="n">
        <v>7000</v>
      </c>
      <c r="E12" s="19" t="n">
        <v>13860000000</v>
      </c>
    </row>
    <row r="13">
      <c r="A13" s="8" t="inlineStr">
        <is>
          <t xml:space="preserve">  Municipalities subtotal</t>
        </is>
      </c>
      <c r="B13" s="20" t="n">
        <v>281</v>
      </c>
      <c r="C13" s="21" t="n"/>
      <c r="D13" s="21" t="n"/>
      <c r="E13" s="22" t="n">
        <v>24239950000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2</v>
      </c>
      <c r="C17" s="17" t="n">
        <v>2700</v>
      </c>
      <c r="D17" s="18" t="n">
        <v>3300</v>
      </c>
      <c r="E17" s="19" t="n">
        <v>17820000</v>
      </c>
    </row>
    <row r="18">
      <c r="A18" s="2" t="inlineStr">
        <is>
          <t>5K-10K</t>
        </is>
      </c>
      <c r="B18" s="17" t="n">
        <v>4</v>
      </c>
      <c r="C18" s="17" t="n">
        <v>7100</v>
      </c>
      <c r="D18" s="18" t="n">
        <v>2900</v>
      </c>
      <c r="E18" s="19" t="n">
        <v>82360000</v>
      </c>
    </row>
    <row r="19">
      <c r="A19" s="2" t="inlineStr">
        <is>
          <t>10K-20K</t>
        </is>
      </c>
      <c r="B19" s="17" t="n">
        <v>6</v>
      </c>
      <c r="C19" s="17" t="n">
        <v>14000</v>
      </c>
      <c r="D19" s="18" t="n">
        <v>2700</v>
      </c>
      <c r="E19" s="19" t="n">
        <v>226800000</v>
      </c>
    </row>
    <row r="20">
      <c r="A20" s="2" t="inlineStr">
        <is>
          <t>20K-50K</t>
        </is>
      </c>
      <c r="B20" s="17" t="n">
        <v>10</v>
      </c>
      <c r="C20" s="17" t="n">
        <v>31000</v>
      </c>
      <c r="D20" s="18" t="n">
        <v>2900</v>
      </c>
      <c r="E20" s="19" t="n">
        <v>899000000</v>
      </c>
    </row>
    <row r="21">
      <c r="A21" s="2" t="inlineStr">
        <is>
          <t>50K-100K</t>
        </is>
      </c>
      <c r="B21" s="17" t="n">
        <v>7</v>
      </c>
      <c r="C21" s="17" t="n">
        <v>70000</v>
      </c>
      <c r="D21" s="18" t="n">
        <v>3200</v>
      </c>
      <c r="E21" s="19" t="n">
        <v>1568000000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1336</v>
      </c>
      <c r="D26" s="18" t="n">
        <v>7600000</v>
      </c>
      <c r="E26" s="19" t="n">
        <v>10153600000</v>
      </c>
    </row>
    <row r="27">
      <c r="A27" s="8" t="inlineStr">
        <is>
          <t xml:space="preserve">  Special Districts subtotal</t>
        </is>
      </c>
      <c r="B27" s="20" t="n">
        <v>1336</v>
      </c>
      <c r="C27" s="21" t="n"/>
      <c r="D27" s="21" t="n"/>
      <c r="E27" s="22" t="n">
        <v>10153600000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WV — West Virginia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89</v>
      </c>
      <c r="C6" s="17" t="n">
        <v>450</v>
      </c>
      <c r="D6" s="18" t="n">
        <v>2000</v>
      </c>
      <c r="E6" s="19" t="n">
        <v>80100000</v>
      </c>
    </row>
    <row r="7">
      <c r="A7" s="2" t="inlineStr">
        <is>
          <t>1K-5K</t>
        </is>
      </c>
      <c r="B7" s="17" t="n">
        <v>74</v>
      </c>
      <c r="C7" s="17" t="n">
        <v>2700</v>
      </c>
      <c r="D7" s="18" t="n">
        <v>2500</v>
      </c>
      <c r="E7" s="19" t="n">
        <v>499500000</v>
      </c>
    </row>
    <row r="8">
      <c r="A8" s="2" t="inlineStr">
        <is>
          <t>5K-10K</t>
        </is>
      </c>
      <c r="B8" s="17" t="n">
        <v>27</v>
      </c>
      <c r="C8" s="17" t="n">
        <v>7100</v>
      </c>
      <c r="D8" s="18" t="n">
        <v>3000</v>
      </c>
      <c r="E8" s="19" t="n">
        <v>575100000</v>
      </c>
    </row>
    <row r="9">
      <c r="A9" s="2" t="inlineStr">
        <is>
          <t>10K-20K</t>
        </is>
      </c>
      <c r="B9" s="17" t="n">
        <v>20</v>
      </c>
      <c r="C9" s="17" t="n">
        <v>14000</v>
      </c>
      <c r="D9" s="18" t="n">
        <v>3500</v>
      </c>
      <c r="E9" s="19" t="n">
        <v>980000000</v>
      </c>
    </row>
    <row r="10">
      <c r="A10" s="2" t="inlineStr">
        <is>
          <t>20K-50K</t>
        </is>
      </c>
      <c r="B10" s="17" t="n">
        <v>14</v>
      </c>
      <c r="C10" s="17" t="n">
        <v>31000</v>
      </c>
      <c r="D10" s="18" t="n">
        <v>4200</v>
      </c>
      <c r="E10" s="19" t="n">
        <v>1822800000</v>
      </c>
    </row>
    <row r="11">
      <c r="A11" s="2" t="inlineStr">
        <is>
          <t>50K-100K</t>
        </is>
      </c>
      <c r="B11" s="17" t="n">
        <v>5</v>
      </c>
      <c r="C11" s="17" t="n">
        <v>70000</v>
      </c>
      <c r="D11" s="18" t="n">
        <v>4800</v>
      </c>
      <c r="E11" s="19" t="n">
        <v>1680000000</v>
      </c>
    </row>
    <row r="12">
      <c r="A12" s="2" t="inlineStr">
        <is>
          <t>100K+</t>
        </is>
      </c>
      <c r="B12" s="17" t="n">
        <v>3</v>
      </c>
      <c r="C12" s="17" t="n">
        <v>220000</v>
      </c>
      <c r="D12" s="18" t="n">
        <v>7000</v>
      </c>
      <c r="E12" s="19" t="n">
        <v>4620000000</v>
      </c>
    </row>
    <row r="13">
      <c r="A13" s="8" t="inlineStr">
        <is>
          <t xml:space="preserve">  Municipalities subtotal</t>
        </is>
      </c>
      <c r="B13" s="20" t="n">
        <v>232</v>
      </c>
      <c r="C13" s="21" t="n"/>
      <c r="D13" s="21" t="n"/>
      <c r="E13" s="22" t="n">
        <v>10257500000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6</v>
      </c>
      <c r="C17" s="17" t="n">
        <v>2700</v>
      </c>
      <c r="D17" s="18" t="n">
        <v>3300</v>
      </c>
      <c r="E17" s="19" t="n">
        <v>53460000</v>
      </c>
    </row>
    <row r="18">
      <c r="A18" s="2" t="inlineStr">
        <is>
          <t>5K-10K</t>
        </is>
      </c>
      <c r="B18" s="17" t="n">
        <v>8</v>
      </c>
      <c r="C18" s="17" t="n">
        <v>7100</v>
      </c>
      <c r="D18" s="18" t="n">
        <v>2900</v>
      </c>
      <c r="E18" s="19" t="n">
        <v>164720000</v>
      </c>
    </row>
    <row r="19">
      <c r="A19" s="2" t="inlineStr">
        <is>
          <t>10K-20K</t>
        </is>
      </c>
      <c r="B19" s="17" t="n">
        <v>10</v>
      </c>
      <c r="C19" s="17" t="n">
        <v>14000</v>
      </c>
      <c r="D19" s="18" t="n">
        <v>2700</v>
      </c>
      <c r="E19" s="19" t="n">
        <v>378000000</v>
      </c>
    </row>
    <row r="20">
      <c r="A20" s="2" t="inlineStr">
        <is>
          <t>20K-50K</t>
        </is>
      </c>
      <c r="B20" s="17" t="n">
        <v>14</v>
      </c>
      <c r="C20" s="17" t="n">
        <v>31000</v>
      </c>
      <c r="D20" s="18" t="n">
        <v>2900</v>
      </c>
      <c r="E20" s="19" t="n">
        <v>1258600000</v>
      </c>
    </row>
    <row r="21">
      <c r="A21" s="2" t="inlineStr">
        <is>
          <t>50K-100K</t>
        </is>
      </c>
      <c r="B21" s="17" t="n">
        <v>8</v>
      </c>
      <c r="C21" s="17" t="n">
        <v>70000</v>
      </c>
      <c r="D21" s="18" t="n">
        <v>3200</v>
      </c>
      <c r="E21" s="19" t="n">
        <v>1792000000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358</v>
      </c>
      <c r="D26" s="18" t="n">
        <v>7600000</v>
      </c>
      <c r="E26" s="19" t="n">
        <v>2720800000</v>
      </c>
    </row>
    <row r="27">
      <c r="A27" s="8" t="inlineStr">
        <is>
          <t xml:space="preserve">  Special Districts subtotal</t>
        </is>
      </c>
      <c r="B27" s="20" t="n">
        <v>358</v>
      </c>
      <c r="C27" s="21" t="n"/>
      <c r="D27" s="21" t="n"/>
      <c r="E27" s="22" t="n">
        <v>2720800000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WI — Wisconsin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208</v>
      </c>
      <c r="C6" s="17" t="n">
        <v>450</v>
      </c>
      <c r="D6" s="18" t="n">
        <v>2000</v>
      </c>
      <c r="E6" s="19" t="n">
        <v>187200000</v>
      </c>
    </row>
    <row r="7">
      <c r="A7" s="2" t="inlineStr">
        <is>
          <t>1K-5K</t>
        </is>
      </c>
      <c r="B7" s="17" t="n">
        <v>179</v>
      </c>
      <c r="C7" s="17" t="n">
        <v>2700</v>
      </c>
      <c r="D7" s="18" t="n">
        <v>2500</v>
      </c>
      <c r="E7" s="19" t="n">
        <v>1208250000</v>
      </c>
    </row>
    <row r="8">
      <c r="A8" s="2" t="inlineStr">
        <is>
          <t>5K-10K</t>
        </is>
      </c>
      <c r="B8" s="17" t="n">
        <v>71</v>
      </c>
      <c r="C8" s="17" t="n">
        <v>7100</v>
      </c>
      <c r="D8" s="18" t="n">
        <v>3000</v>
      </c>
      <c r="E8" s="19" t="n">
        <v>1512300000</v>
      </c>
    </row>
    <row r="9">
      <c r="A9" s="2" t="inlineStr">
        <is>
          <t>10K-20K</t>
        </is>
      </c>
      <c r="B9" s="17" t="n">
        <v>60</v>
      </c>
      <c r="C9" s="17" t="n">
        <v>14000</v>
      </c>
      <c r="D9" s="18" t="n">
        <v>3500</v>
      </c>
      <c r="E9" s="19" t="n">
        <v>2940000000</v>
      </c>
    </row>
    <row r="10">
      <c r="A10" s="2" t="inlineStr">
        <is>
          <t>20K-50K</t>
        </is>
      </c>
      <c r="B10" s="17" t="n">
        <v>48</v>
      </c>
      <c r="C10" s="17" t="n">
        <v>31000</v>
      </c>
      <c r="D10" s="18" t="n">
        <v>4200</v>
      </c>
      <c r="E10" s="19" t="n">
        <v>6249600000</v>
      </c>
    </row>
    <row r="11">
      <c r="A11" s="2" t="inlineStr">
        <is>
          <t>50K-100K</t>
        </is>
      </c>
      <c r="B11" s="17" t="n">
        <v>18</v>
      </c>
      <c r="C11" s="17" t="n">
        <v>70000</v>
      </c>
      <c r="D11" s="18" t="n">
        <v>4800</v>
      </c>
      <c r="E11" s="19" t="n">
        <v>6048000000</v>
      </c>
    </row>
    <row r="12">
      <c r="A12" s="2" t="inlineStr">
        <is>
          <t>100K+</t>
        </is>
      </c>
      <c r="B12" s="17" t="n">
        <v>12</v>
      </c>
      <c r="C12" s="17" t="n">
        <v>220000</v>
      </c>
      <c r="D12" s="18" t="n">
        <v>7000</v>
      </c>
      <c r="E12" s="19" t="n">
        <v>18480000000</v>
      </c>
    </row>
    <row r="13">
      <c r="A13" s="8" t="inlineStr">
        <is>
          <t xml:space="preserve">  Municipalities subtotal</t>
        </is>
      </c>
      <c r="B13" s="20" t="n">
        <v>596</v>
      </c>
      <c r="C13" s="21" t="n"/>
      <c r="D13" s="21" t="n"/>
      <c r="E13" s="22" t="n">
        <v>36625350000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1</v>
      </c>
      <c r="C16" s="17" t="n">
        <v>450</v>
      </c>
      <c r="D16" s="18" t="n">
        <v>3500</v>
      </c>
      <c r="E16" s="19" t="n">
        <v>1575000</v>
      </c>
    </row>
    <row r="17">
      <c r="A17" s="2" t="inlineStr">
        <is>
          <t>1K-5K</t>
        </is>
      </c>
      <c r="B17" s="17" t="n">
        <v>6</v>
      </c>
      <c r="C17" s="17" t="n">
        <v>2700</v>
      </c>
      <c r="D17" s="18" t="n">
        <v>3300</v>
      </c>
      <c r="E17" s="19" t="n">
        <v>53460000</v>
      </c>
    </row>
    <row r="18">
      <c r="A18" s="2" t="inlineStr">
        <is>
          <t>5K-10K</t>
        </is>
      </c>
      <c r="B18" s="17" t="n">
        <v>8</v>
      </c>
      <c r="C18" s="17" t="n">
        <v>7100</v>
      </c>
      <c r="D18" s="18" t="n">
        <v>2900</v>
      </c>
      <c r="E18" s="19" t="n">
        <v>164720000</v>
      </c>
    </row>
    <row r="19">
      <c r="A19" s="2" t="inlineStr">
        <is>
          <t>10K-20K</t>
        </is>
      </c>
      <c r="B19" s="17" t="n">
        <v>12</v>
      </c>
      <c r="C19" s="17" t="n">
        <v>14000</v>
      </c>
      <c r="D19" s="18" t="n">
        <v>2700</v>
      </c>
      <c r="E19" s="19" t="n">
        <v>453600000</v>
      </c>
    </row>
    <row r="20">
      <c r="A20" s="2" t="inlineStr">
        <is>
          <t>20K-50K</t>
        </is>
      </c>
      <c r="B20" s="17" t="n">
        <v>19</v>
      </c>
      <c r="C20" s="17" t="n">
        <v>31000</v>
      </c>
      <c r="D20" s="18" t="n">
        <v>2900</v>
      </c>
      <c r="E20" s="19" t="n">
        <v>1708100000</v>
      </c>
    </row>
    <row r="21">
      <c r="A21" s="2" t="inlineStr">
        <is>
          <t>50K-100K</t>
        </is>
      </c>
      <c r="B21" s="17" t="n">
        <v>12</v>
      </c>
      <c r="C21" s="17" t="n">
        <v>70000</v>
      </c>
      <c r="D21" s="18" t="n">
        <v>3200</v>
      </c>
      <c r="E21" s="19" t="n">
        <v>2688000000</v>
      </c>
    </row>
    <row r="22">
      <c r="A22" s="23" t="inlineStr">
        <is>
          <t>GRAND TOTAL</t>
        </is>
      </c>
      <c r="B22" s="24">
        <f>B13+B23+B33+B37</f>
        <v/>
      </c>
      <c r="C22" s="25" t="n">
        <v>220000</v>
      </c>
      <c r="D22" s="26" t="n">
        <v>3500</v>
      </c>
      <c r="E22" s="27">
        <f>E13+E23+E33+E37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Townships</t>
        </is>
      </c>
      <c r="B25" s="16" t="n"/>
      <c r="C25" s="16" t="n"/>
      <c r="D25" s="16" t="n"/>
      <c r="E25" s="16" t="n"/>
    </row>
    <row r="26">
      <c r="A26" s="2" t="inlineStr">
        <is>
          <t>&lt;1K</t>
        </is>
      </c>
      <c r="B26" s="17" t="n">
        <v>627</v>
      </c>
      <c r="C26" s="17" t="n">
        <v>450</v>
      </c>
      <c r="D26" s="18" t="n">
        <v>600</v>
      </c>
      <c r="E26" s="19" t="n">
        <v>169290000</v>
      </c>
    </row>
    <row r="27">
      <c r="A27" s="2" t="inlineStr">
        <is>
          <t>1K-5K</t>
        </is>
      </c>
      <c r="B27" s="17" t="n">
        <v>402</v>
      </c>
      <c r="C27" s="17" t="n">
        <v>2700</v>
      </c>
      <c r="D27" s="18" t="n">
        <v>800</v>
      </c>
      <c r="E27" s="19" t="n">
        <v>868320000</v>
      </c>
    </row>
    <row r="28">
      <c r="A28" s="2" t="inlineStr">
        <is>
          <t>5K-10K</t>
        </is>
      </c>
      <c r="B28" s="17" t="n">
        <v>113</v>
      </c>
      <c r="C28" s="17" t="n">
        <v>7100</v>
      </c>
      <c r="D28" s="18" t="n">
        <v>1100</v>
      </c>
      <c r="E28" s="19" t="n">
        <v>882530000</v>
      </c>
    </row>
    <row r="29">
      <c r="A29" s="2" t="inlineStr">
        <is>
          <t>10K-20K</t>
        </is>
      </c>
      <c r="B29" s="17" t="n">
        <v>63</v>
      </c>
      <c r="C29" s="17" t="n">
        <v>14000</v>
      </c>
      <c r="D29" s="18" t="n">
        <v>1400</v>
      </c>
      <c r="E29" s="19" t="n">
        <v>1234800000</v>
      </c>
    </row>
    <row r="30">
      <c r="A30" s="2" t="inlineStr">
        <is>
          <t>20K-50K</t>
        </is>
      </c>
      <c r="B30" s="17" t="n">
        <v>38</v>
      </c>
      <c r="C30" s="17" t="n">
        <v>31000</v>
      </c>
      <c r="D30" s="18" t="n">
        <v>1600</v>
      </c>
      <c r="E30" s="19" t="n">
        <v>1884800000</v>
      </c>
    </row>
    <row r="31">
      <c r="A31" s="2" t="inlineStr">
        <is>
          <t>50K-100K</t>
        </is>
      </c>
      <c r="B31" s="17" t="n">
        <v>12</v>
      </c>
      <c r="C31" s="17" t="n">
        <v>70000</v>
      </c>
      <c r="D31" s="18" t="n">
        <v>1700</v>
      </c>
      <c r="E31" s="19" t="n">
        <v>1428000000</v>
      </c>
    </row>
    <row r="32">
      <c r="A32" s="2" t="inlineStr">
        <is>
          <t>100K+</t>
        </is>
      </c>
      <c r="B32" s="17" t="n">
        <v>0</v>
      </c>
      <c r="C32" s="17" t="n">
        <v>220000</v>
      </c>
      <c r="D32" s="18" t="n">
        <v>1800</v>
      </c>
      <c r="E32" s="19" t="n">
        <v>0</v>
      </c>
    </row>
    <row r="33">
      <c r="A33" s="8" t="inlineStr">
        <is>
          <t xml:space="preserve">  Townships subtotal</t>
        </is>
      </c>
      <c r="B33" s="20" t="n">
        <v>1255</v>
      </c>
      <c r="C33" s="21" t="n"/>
      <c r="D33" s="21" t="n"/>
      <c r="E33" s="22" t="n">
        <v>6467740000</v>
      </c>
    </row>
    <row r="35">
      <c r="A35" s="15" t="inlineStr">
        <is>
          <t>Special Districts</t>
        </is>
      </c>
      <c r="B35" s="16" t="n"/>
      <c r="C35" s="16" t="n"/>
      <c r="D35" s="16" t="n"/>
      <c r="E35" s="16" t="n"/>
    </row>
    <row r="36">
      <c r="A36" s="2" t="inlineStr">
        <is>
          <t>(all sizes)</t>
        </is>
      </c>
      <c r="B36" s="17" t="n">
        <v>730</v>
      </c>
      <c r="D36" s="18" t="n">
        <v>7600000</v>
      </c>
      <c r="E36" s="19" t="n">
        <v>5548000000</v>
      </c>
    </row>
    <row r="37">
      <c r="A37" s="8" t="inlineStr">
        <is>
          <t xml:space="preserve">  Special Districts subtotal</t>
        </is>
      </c>
      <c r="B37" s="20" t="n">
        <v>730</v>
      </c>
      <c r="C37" s="21" t="n"/>
      <c r="D37" s="21" t="n"/>
      <c r="E37" s="22" t="n">
        <v>5548000000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WY — Wyoming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44</v>
      </c>
      <c r="C6" s="17" t="n">
        <v>450</v>
      </c>
      <c r="D6" s="18" t="n">
        <v>2000</v>
      </c>
      <c r="E6" s="19" t="n">
        <v>39600000</v>
      </c>
    </row>
    <row r="7">
      <c r="A7" s="2" t="inlineStr">
        <is>
          <t>1K-5K</t>
        </is>
      </c>
      <c r="B7" s="17" t="n">
        <v>32</v>
      </c>
      <c r="C7" s="17" t="n">
        <v>2700</v>
      </c>
      <c r="D7" s="18" t="n">
        <v>2500</v>
      </c>
      <c r="E7" s="19" t="n">
        <v>216000000</v>
      </c>
    </row>
    <row r="8">
      <c r="A8" s="2" t="inlineStr">
        <is>
          <t>5K-10K</t>
        </is>
      </c>
      <c r="B8" s="17" t="n">
        <v>10</v>
      </c>
      <c r="C8" s="17" t="n">
        <v>7100</v>
      </c>
      <c r="D8" s="18" t="n">
        <v>3000</v>
      </c>
      <c r="E8" s="19" t="n">
        <v>213000000</v>
      </c>
    </row>
    <row r="9">
      <c r="A9" s="2" t="inlineStr">
        <is>
          <t>10K-20K</t>
        </is>
      </c>
      <c r="B9" s="17" t="n">
        <v>7</v>
      </c>
      <c r="C9" s="17" t="n">
        <v>14000</v>
      </c>
      <c r="D9" s="18" t="n">
        <v>3500</v>
      </c>
      <c r="E9" s="19" t="n">
        <v>343000000</v>
      </c>
    </row>
    <row r="10">
      <c r="A10" s="2" t="inlineStr">
        <is>
          <t>20K-50K</t>
        </is>
      </c>
      <c r="B10" s="17" t="n">
        <v>4</v>
      </c>
      <c r="C10" s="17" t="n">
        <v>31000</v>
      </c>
      <c r="D10" s="18" t="n">
        <v>4200</v>
      </c>
      <c r="E10" s="19" t="n">
        <v>520800000</v>
      </c>
    </row>
    <row r="11">
      <c r="A11" s="2" t="inlineStr">
        <is>
          <t>50K-100K</t>
        </is>
      </c>
      <c r="B11" s="17" t="n">
        <v>1</v>
      </c>
      <c r="C11" s="17" t="n">
        <v>70000</v>
      </c>
      <c r="D11" s="18" t="n">
        <v>4800</v>
      </c>
      <c r="E11" s="19" t="n">
        <v>336000000</v>
      </c>
    </row>
    <row r="12">
      <c r="A12" s="2" t="inlineStr">
        <is>
          <t>100K+</t>
        </is>
      </c>
      <c r="B12" s="17" t="n">
        <v>1</v>
      </c>
      <c r="C12" s="17" t="n">
        <v>220000</v>
      </c>
      <c r="D12" s="18" t="n">
        <v>7000</v>
      </c>
      <c r="E12" s="19" t="n">
        <v>1540000000</v>
      </c>
    </row>
    <row r="13">
      <c r="A13" s="8" t="inlineStr">
        <is>
          <t xml:space="preserve">  Municipalities subtotal</t>
        </is>
      </c>
      <c r="B13" s="20" t="n">
        <v>99</v>
      </c>
      <c r="C13" s="21" t="n"/>
      <c r="D13" s="21" t="n"/>
      <c r="E13" s="22" t="n">
        <v>3208400000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3</v>
      </c>
      <c r="C17" s="17" t="n">
        <v>2700</v>
      </c>
      <c r="D17" s="18" t="n">
        <v>3300</v>
      </c>
      <c r="E17" s="19" t="n">
        <v>26730000</v>
      </c>
    </row>
    <row r="18">
      <c r="A18" s="2" t="inlineStr">
        <is>
          <t>5K-10K</t>
        </is>
      </c>
      <c r="B18" s="17" t="n">
        <v>4</v>
      </c>
      <c r="C18" s="17" t="n">
        <v>7100</v>
      </c>
      <c r="D18" s="18" t="n">
        <v>2900</v>
      </c>
      <c r="E18" s="19" t="n">
        <v>82360000</v>
      </c>
    </row>
    <row r="19">
      <c r="A19" s="2" t="inlineStr">
        <is>
          <t>10K-20K</t>
        </is>
      </c>
      <c r="B19" s="17" t="n">
        <v>5</v>
      </c>
      <c r="C19" s="17" t="n">
        <v>14000</v>
      </c>
      <c r="D19" s="18" t="n">
        <v>2700</v>
      </c>
      <c r="E19" s="19" t="n">
        <v>189000000</v>
      </c>
    </row>
    <row r="20">
      <c r="A20" s="2" t="inlineStr">
        <is>
          <t>20K-50K</t>
        </is>
      </c>
      <c r="B20" s="17" t="n">
        <v>6</v>
      </c>
      <c r="C20" s="17" t="n">
        <v>31000</v>
      </c>
      <c r="D20" s="18" t="n">
        <v>2900</v>
      </c>
      <c r="E20" s="19" t="n">
        <v>539400000</v>
      </c>
    </row>
    <row r="21">
      <c r="A21" s="2" t="inlineStr">
        <is>
          <t>50K-100K</t>
        </is>
      </c>
      <c r="B21" s="17" t="n">
        <v>3</v>
      </c>
      <c r="C21" s="17" t="n">
        <v>70000</v>
      </c>
      <c r="D21" s="18" t="n">
        <v>3200</v>
      </c>
      <c r="E21" s="19" t="n">
        <v>672000000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683</v>
      </c>
      <c r="D26" s="18" t="n">
        <v>7600000</v>
      </c>
      <c r="E26" s="19" t="n">
        <v>5190800000</v>
      </c>
    </row>
    <row r="27">
      <c r="A27" s="8" t="inlineStr">
        <is>
          <t xml:space="preserve">  Special Districts subtotal</t>
        </is>
      </c>
      <c r="B27" s="20" t="n">
        <v>683</v>
      </c>
      <c r="C27" s="21" t="n"/>
      <c r="D27" s="21" t="n"/>
      <c r="E27" s="22" t="n">
        <v>5190800000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DC — District of Columbia</t>
        </is>
      </c>
    </row>
    <row r="2">
      <c r="A2" s="2" t="inlineStr">
        <is>
          <t>Counts and estimated annual operating spend by entity type and bucket.</t>
        </is>
      </c>
    </row>
    <row r="4">
      <c r="A4" s="3" t="inlineStr">
        <is>
          <t>Entity / Bucket</t>
        </is>
      </c>
      <c r="B4" s="3" t="inlineStr">
        <is>
          <t>Count</t>
        </is>
      </c>
      <c r="C4" s="3" t="inlineStr">
        <is>
          <t>Avg Pop</t>
        </is>
      </c>
      <c r="D4" s="3" t="inlineStr">
        <is>
          <t>$/capita</t>
        </is>
      </c>
      <c r="E4" s="3" t="inlineStr">
        <is>
          <t>Spend ($)</t>
        </is>
      </c>
    </row>
    <row r="5">
      <c r="A5" s="15" t="inlineStr">
        <is>
          <t>Municipalities</t>
        </is>
      </c>
      <c r="B5" s="16" t="n"/>
      <c r="C5" s="16" t="n"/>
      <c r="D5" s="16" t="n"/>
      <c r="E5" s="16" t="n"/>
    </row>
    <row r="6">
      <c r="A6" s="2" t="inlineStr">
        <is>
          <t>&lt;1K</t>
        </is>
      </c>
      <c r="B6" s="17" t="n">
        <v>0</v>
      </c>
      <c r="C6" s="17" t="n">
        <v>450</v>
      </c>
      <c r="D6" s="18" t="n">
        <v>2000</v>
      </c>
      <c r="E6" s="19" t="n">
        <v>0</v>
      </c>
    </row>
    <row r="7">
      <c r="A7" s="2" t="inlineStr">
        <is>
          <t>1K-5K</t>
        </is>
      </c>
      <c r="B7" s="17" t="n">
        <v>1</v>
      </c>
      <c r="C7" s="17" t="n">
        <v>2700</v>
      </c>
      <c r="D7" s="18" t="n">
        <v>2500</v>
      </c>
      <c r="E7" s="19" t="n">
        <v>6750000</v>
      </c>
    </row>
    <row r="8">
      <c r="A8" s="2" t="inlineStr">
        <is>
          <t>5K-10K</t>
        </is>
      </c>
      <c r="B8" s="17" t="n">
        <v>0</v>
      </c>
      <c r="C8" s="17" t="n">
        <v>7100</v>
      </c>
      <c r="D8" s="18" t="n">
        <v>3000</v>
      </c>
      <c r="E8" s="19" t="n">
        <v>0</v>
      </c>
    </row>
    <row r="9">
      <c r="A9" s="2" t="inlineStr">
        <is>
          <t>10K-20K</t>
        </is>
      </c>
      <c r="B9" s="17" t="n">
        <v>0</v>
      </c>
      <c r="C9" s="17" t="n">
        <v>14000</v>
      </c>
      <c r="D9" s="18" t="n">
        <v>3500</v>
      </c>
      <c r="E9" s="19" t="n">
        <v>0</v>
      </c>
    </row>
    <row r="10">
      <c r="A10" s="2" t="inlineStr">
        <is>
          <t>20K-50K</t>
        </is>
      </c>
      <c r="B10" s="17" t="n">
        <v>0</v>
      </c>
      <c r="C10" s="17" t="n">
        <v>31000</v>
      </c>
      <c r="D10" s="18" t="n">
        <v>4200</v>
      </c>
      <c r="E10" s="19" t="n">
        <v>0</v>
      </c>
    </row>
    <row r="11">
      <c r="A11" s="2" t="inlineStr">
        <is>
          <t>50K-100K</t>
        </is>
      </c>
      <c r="B11" s="17" t="n">
        <v>0</v>
      </c>
      <c r="C11" s="17" t="n">
        <v>70000</v>
      </c>
      <c r="D11" s="18" t="n">
        <v>4800</v>
      </c>
      <c r="E11" s="19" t="n">
        <v>0</v>
      </c>
    </row>
    <row r="12">
      <c r="A12" s="2" t="inlineStr">
        <is>
          <t>100K+</t>
        </is>
      </c>
      <c r="B12" s="17" t="n">
        <v>0</v>
      </c>
      <c r="C12" s="17" t="n">
        <v>220000</v>
      </c>
      <c r="D12" s="18" t="n">
        <v>7000</v>
      </c>
      <c r="E12" s="19" t="n">
        <v>0</v>
      </c>
    </row>
    <row r="13">
      <c r="A13" s="8" t="inlineStr">
        <is>
          <t xml:space="preserve">  Municipalities subtotal</t>
        </is>
      </c>
      <c r="B13" s="20" t="n">
        <v>1</v>
      </c>
      <c r="C13" s="21" t="n"/>
      <c r="D13" s="21" t="n"/>
      <c r="E13" s="22" t="n">
        <v>6750000</v>
      </c>
    </row>
    <row r="15">
      <c r="A15" s="15" t="inlineStr">
        <is>
          <t>Counties / Parishes</t>
        </is>
      </c>
      <c r="B15" s="16" t="n"/>
      <c r="C15" s="16" t="n"/>
      <c r="D15" s="16" t="n"/>
      <c r="E15" s="16" t="n"/>
    </row>
    <row r="16">
      <c r="A16" s="2" t="inlineStr">
        <is>
          <t>&lt;1K</t>
        </is>
      </c>
      <c r="B16" s="17" t="n">
        <v>0</v>
      </c>
      <c r="C16" s="17" t="n">
        <v>450</v>
      </c>
      <c r="D16" s="18" t="n">
        <v>3500</v>
      </c>
      <c r="E16" s="19" t="n">
        <v>0</v>
      </c>
    </row>
    <row r="17">
      <c r="A17" s="2" t="inlineStr">
        <is>
          <t>1K-5K</t>
        </is>
      </c>
      <c r="B17" s="17" t="n">
        <v>0</v>
      </c>
      <c r="C17" s="17" t="n">
        <v>2700</v>
      </c>
      <c r="D17" s="18" t="n">
        <v>3300</v>
      </c>
      <c r="E17" s="19" t="n">
        <v>0</v>
      </c>
    </row>
    <row r="18">
      <c r="A18" s="2" t="inlineStr">
        <is>
          <t>5K-10K</t>
        </is>
      </c>
      <c r="B18" s="17" t="n">
        <v>0</v>
      </c>
      <c r="C18" s="17" t="n">
        <v>7100</v>
      </c>
      <c r="D18" s="18" t="n">
        <v>2900</v>
      </c>
      <c r="E18" s="19" t="n">
        <v>0</v>
      </c>
    </row>
    <row r="19">
      <c r="A19" s="2" t="inlineStr">
        <is>
          <t>10K-20K</t>
        </is>
      </c>
      <c r="B19" s="17" t="n">
        <v>0</v>
      </c>
      <c r="C19" s="17" t="n">
        <v>14000</v>
      </c>
      <c r="D19" s="18" t="n">
        <v>2700</v>
      </c>
      <c r="E19" s="19" t="n">
        <v>0</v>
      </c>
    </row>
    <row r="20">
      <c r="A20" s="2" t="inlineStr">
        <is>
          <t>20K-50K</t>
        </is>
      </c>
      <c r="B20" s="17" t="n">
        <v>0</v>
      </c>
      <c r="C20" s="17" t="n">
        <v>31000</v>
      </c>
      <c r="D20" s="18" t="n">
        <v>2900</v>
      </c>
      <c r="E20" s="19" t="n">
        <v>0</v>
      </c>
    </row>
    <row r="21">
      <c r="A21" s="2" t="inlineStr">
        <is>
          <t>50K-100K</t>
        </is>
      </c>
      <c r="B21" s="17" t="n">
        <v>0</v>
      </c>
      <c r="C21" s="17" t="n">
        <v>70000</v>
      </c>
      <c r="D21" s="18" t="n">
        <v>3200</v>
      </c>
      <c r="E21" s="19" t="n">
        <v>0</v>
      </c>
    </row>
    <row r="22">
      <c r="A22" s="23" t="inlineStr">
        <is>
          <t>GRAND TOTAL</t>
        </is>
      </c>
      <c r="B22" s="24">
        <f>B13+B23+B27</f>
        <v/>
      </c>
      <c r="C22" s="25" t="n">
        <v>220000</v>
      </c>
      <c r="D22" s="26" t="n">
        <v>3500</v>
      </c>
      <c r="E22" s="27">
        <f>E13+E23+E27</f>
        <v/>
      </c>
    </row>
    <row r="23">
      <c r="A23" s="8" t="inlineStr">
        <is>
          <t xml:space="preserve">  Counties / Parishes subtotal</t>
        </is>
      </c>
      <c r="B23" s="20">
        <f>SUM(B16:B22)</f>
        <v/>
      </c>
      <c r="C23" s="21" t="n"/>
      <c r="D23" s="21" t="n"/>
      <c r="E23" s="22">
        <f>SUM(E16:E22)</f>
        <v/>
      </c>
    </row>
    <row r="25">
      <c r="A25" s="15" t="inlineStr">
        <is>
          <t>Special Districts</t>
        </is>
      </c>
      <c r="B25" s="16" t="n"/>
      <c r="C25" s="16" t="n"/>
      <c r="D25" s="16" t="n"/>
      <c r="E25" s="16" t="n"/>
    </row>
    <row r="26">
      <c r="A26" s="2" t="inlineStr">
        <is>
          <t>(all sizes)</t>
        </is>
      </c>
      <c r="B26" s="17" t="n">
        <v>1</v>
      </c>
      <c r="D26" s="18" t="n">
        <v>7600000</v>
      </c>
      <c r="E26" s="19" t="n">
        <v>7600000</v>
      </c>
    </row>
    <row r="27">
      <c r="A27" s="8" t="inlineStr">
        <is>
          <t xml:space="preserve">  Special Districts subtotal</t>
        </is>
      </c>
      <c r="B27" s="20" t="n">
        <v>1</v>
      </c>
      <c r="C27" s="21" t="n"/>
      <c r="D27" s="21" t="n"/>
      <c r="E27" s="22" t="n">
        <v>7600000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1" customWidth="1" min="5" max="5"/>
    <col width="32" customWidth="1" min="6" max="6"/>
    <col width="22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Competitor Summary</t>
        </is>
      </c>
    </row>
    <row r="2">
      <c r="A2" s="2" t="inlineStr">
        <is>
          <t>Per-vendor profile across the U.S. local-government software market.</t>
        </is>
      </c>
    </row>
    <row r="4" ht="30" customHeight="1">
      <c r="A4" s="28" t="inlineStr">
        <is>
          <t>Vendor</t>
        </is>
      </c>
      <c r="B4" s="28" t="inlineStr">
        <is>
          <t>HQ</t>
        </is>
      </c>
      <c r="C4" s="28" t="inlineStr">
        <is>
          <t>Customers (published)</t>
        </is>
      </c>
      <c r="D4" s="28" t="inlineStr">
        <is>
          <t>Customers (allocated)</t>
        </is>
      </c>
      <c r="E4" s="28" t="inlineStr">
        <is>
          <t>Calibration Δ</t>
        </is>
      </c>
      <c r="F4" s="28" t="inlineStr">
        <is>
          <t>Focus</t>
        </is>
      </c>
      <c r="G4" s="28" t="inlineStr">
        <is>
          <t>Size Target</t>
        </is>
      </c>
      <c r="H4" s="28" t="inlineStr">
        <is>
          <t>Top State</t>
        </is>
      </c>
      <c r="I4" s="28" t="inlineStr">
        <is>
          <t>#2 State</t>
        </is>
      </c>
      <c r="J4" s="28" t="inlineStr">
        <is>
          <t>Notes</t>
        </is>
      </c>
    </row>
    <row r="5" ht="60" customHeight="1">
      <c r="A5" s="29" t="inlineStr">
        <is>
          <t>Tyler Technologies</t>
        </is>
      </c>
      <c r="B5" s="30" t="inlineStr">
        <is>
          <t>TX (Texas)</t>
        </is>
      </c>
      <c r="C5" s="31" t="n">
        <v>13000</v>
      </c>
      <c r="D5" s="32" t="n">
        <v>12490</v>
      </c>
      <c r="E5" s="33" t="n">
        <v>-0.03923076923076923</v>
      </c>
      <c r="F5" s="30" t="inlineStr">
        <is>
          <t>Enterprise ERP, courts, public safety, K-12, payments</t>
        </is>
      </c>
      <c r="G5" s="30" t="inlineStr">
        <is>
          <t>Mid-to-large (10K-100K+)</t>
        </is>
      </c>
      <c r="H5" s="30" t="inlineStr">
        <is>
          <t>TX (1100)</t>
        </is>
      </c>
      <c r="I5" s="30" t="inlineStr">
        <is>
          <t>CA (750)</t>
        </is>
      </c>
      <c r="J5" s="30" t="inlineStr">
        <is>
          <t>Largest pure-play public-sector software vendor. NIC acquisition (2021, $2.3B) added payments + 30 state portal contracts. Strong in county courts, ERP (Munis), CAD/RMS (New World).</t>
        </is>
      </c>
    </row>
    <row r="6" ht="60" customHeight="1">
      <c r="A6" s="29" t="inlineStr">
        <is>
          <t>BS&amp;A Software</t>
        </is>
      </c>
      <c r="B6" s="30" t="inlineStr">
        <is>
          <t>MI (Michigan)</t>
        </is>
      </c>
      <c r="C6" s="31" t="n">
        <v>2500</v>
      </c>
      <c r="D6" s="32" t="n">
        <v>2482</v>
      </c>
      <c r="E6" s="33" t="n">
        <v>-0.0072</v>
      </c>
      <c r="F6" s="30" t="inlineStr">
        <is>
          <t>Financial mgmt, assessing, tax, building permits</t>
        </is>
      </c>
      <c r="G6" s="30" t="inlineStr">
        <is>
          <t>Small-to-mid (1K-50K)</t>
        </is>
      </c>
      <c r="H6" s="30" t="inlineStr">
        <is>
          <t>MI (1450)</t>
        </is>
      </c>
      <c r="I6" s="30" t="inlineStr">
        <is>
          <t>OH (220)</t>
        </is>
      </c>
      <c r="J6" s="30" t="inlineStr">
        <is>
          <t>Michigan dominant — estimated ~70-80% of MI municipalities run BS&amp;A. Acquired by Harris Computer (Constellation Software) in 2021. Expanding into OH, IN, IL via Harris's distribution.</t>
        </is>
      </c>
    </row>
    <row r="7" ht="60" customHeight="1">
      <c r="A7" s="29" t="inlineStr">
        <is>
          <t>Caselle</t>
        </is>
      </c>
      <c r="B7" s="30" t="inlineStr">
        <is>
          <t>UT (Utah)</t>
        </is>
      </c>
      <c r="C7" s="31" t="n">
        <v>1000</v>
      </c>
      <c r="D7" s="32" t="n">
        <v>1130</v>
      </c>
      <c r="E7" s="33" t="n">
        <v>0.13</v>
      </c>
      <c r="F7" s="30" t="inlineStr">
        <is>
          <t>Accounting, payroll, utility billing for small cities</t>
        </is>
      </c>
      <c r="G7" s="30" t="inlineStr">
        <is>
          <t>Small (&lt;10K)</t>
        </is>
      </c>
      <c r="H7" s="30" t="inlineStr">
        <is>
          <t>UT (280)</t>
        </is>
      </c>
      <c r="I7" s="30" t="inlineStr">
        <is>
          <t>ID (110)</t>
        </is>
      </c>
      <c r="J7" s="30" t="inlineStr">
        <is>
          <t>Mountain-West small-town stronghold. Long-tenured installed base in UT/ID/WY/MT/NV. Slower modernization than some peers; core suite still stable cash cow.</t>
        </is>
      </c>
    </row>
    <row r="8" ht="60" customHeight="1">
      <c r="A8" s="29" t="inlineStr">
        <is>
          <t>gWorks</t>
        </is>
      </c>
      <c r="B8" s="30" t="inlineStr">
        <is>
          <t>NE (Nebraska)</t>
        </is>
      </c>
      <c r="C8" s="31" t="n">
        <v>2500</v>
      </c>
      <c r="D8" s="32" t="n">
        <v>2635</v>
      </c>
      <c r="E8" s="33" t="n">
        <v>0.054</v>
      </c>
      <c r="F8" s="30" t="inlineStr">
        <is>
          <t>All-in-one ERP, GIS, websites for very small towns</t>
        </is>
      </c>
      <c r="G8" s="30" t="inlineStr">
        <is>
          <t>Very small (&lt;5K)</t>
        </is>
      </c>
      <c r="H8" s="30" t="inlineStr">
        <is>
          <t>NE (480)</t>
        </is>
      </c>
      <c r="I8" s="30" t="inlineStr">
        <is>
          <t>IA (280)</t>
        </is>
      </c>
      <c r="J8" s="30" t="inlineStr">
        <is>
          <t>Roll-up of small public-sector vendors. Acquired Banyon Data Systems (MN), Pontem, and others. Plains-states stronghold; expanding eastward via channel.</t>
        </is>
      </c>
    </row>
    <row r="9" ht="60" customHeight="1">
      <c r="A9" s="29" t="inlineStr">
        <is>
          <t>Muni-Link</t>
        </is>
      </c>
      <c r="B9" s="30" t="inlineStr">
        <is>
          <t>PA (Pennsylvania)</t>
        </is>
      </c>
      <c r="C9" s="31" t="n">
        <v>750</v>
      </c>
      <c r="D9" s="32" t="n">
        <v>840</v>
      </c>
      <c r="E9" s="33" t="n">
        <v>0.12</v>
      </c>
      <c r="F9" s="30" t="inlineStr">
        <is>
          <t>Cloud utility billing (water, sewer, stormwater)</t>
        </is>
      </c>
      <c r="G9" s="30" t="inlineStr">
        <is>
          <t>Small-to-mid utilities (1K-50K)</t>
        </is>
      </c>
      <c r="H9" s="30" t="inlineStr">
        <is>
          <t>PA (220)</t>
        </is>
      </c>
      <c r="I9" s="30" t="inlineStr">
        <is>
          <t>OH (100)</t>
        </is>
      </c>
      <c r="J9" s="30" t="inlineStr">
        <is>
          <t>Single-vertical SaaS focused on municipal utility billing. Concentrated in PA/OH/WV with growing presence in NY/MD/VA. Often layered alongside a separate ERP.</t>
        </is>
      </c>
    </row>
    <row r="10" ht="60" customHeight="1">
      <c r="A10" s="29" t="inlineStr">
        <is>
          <t>TownCloud</t>
        </is>
      </c>
      <c r="B10" s="30" t="inlineStr">
        <is>
          <t>VA (Virginia)</t>
        </is>
      </c>
      <c r="C10" s="31" t="n">
        <v>200</v>
      </c>
      <c r="D10" s="32" t="n">
        <v>212</v>
      </c>
      <c r="E10" s="33" t="n">
        <v>0.06</v>
      </c>
      <c r="F10" s="30" t="inlineStr">
        <is>
          <t>Cloud-native ERP for small Southeast towns</t>
        </is>
      </c>
      <c r="G10" s="30" t="inlineStr">
        <is>
          <t>Small (&lt;5K)</t>
        </is>
      </c>
      <c r="H10" s="30" t="inlineStr">
        <is>
          <t>VA (50)</t>
        </is>
      </c>
      <c r="I10" s="30" t="inlineStr">
        <is>
          <t>NC (30)</t>
        </is>
      </c>
      <c r="J10" s="30" t="inlineStr">
        <is>
          <t>Newer entrant. Cloud-native from day one. Concentrated in VA/NC/SC/TN. Smaller footprint but fastest growth rate among the tracked set.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16" customWidth="1" min="13" max="13"/>
  </cols>
  <sheetData>
    <row r="1">
      <c r="A1" s="1" t="inlineStr">
        <is>
          <t>Competitor Penetration — State × Vendor matrix</t>
        </is>
      </c>
    </row>
    <row r="2">
      <c r="A2" s="2" t="inlineStr">
        <is>
          <t>Cells = customer count by state. Combined Penetration % = total tracked-vendor customers ÷ (counties + munis + townships) in that state.</t>
        </is>
      </c>
    </row>
    <row r="4" ht="36" customHeight="1">
      <c r="A4" s="28" t="inlineStr">
        <is>
          <t>State</t>
        </is>
      </c>
      <c r="B4" s="28" t="inlineStr">
        <is>
          <t>Counties</t>
        </is>
      </c>
      <c r="C4" s="28" t="inlineStr">
        <is>
          <t>Munis</t>
        </is>
      </c>
      <c r="D4" s="28" t="inlineStr">
        <is>
          <t>Townships</t>
        </is>
      </c>
      <c r="E4" s="28" t="inlineStr">
        <is>
          <t>Addressable (C+M+T)</t>
        </is>
      </c>
      <c r="F4" s="28" t="inlineStr">
        <is>
          <t>Tyler Technologies</t>
        </is>
      </c>
      <c r="G4" s="28" t="inlineStr">
        <is>
          <t>BS&amp;A Software</t>
        </is>
      </c>
      <c r="H4" s="28" t="inlineStr">
        <is>
          <t>Caselle</t>
        </is>
      </c>
      <c r="I4" s="28" t="inlineStr">
        <is>
          <t>gWorks</t>
        </is>
      </c>
      <c r="J4" s="28" t="inlineStr">
        <is>
          <t>Muni-Link</t>
        </is>
      </c>
      <c r="K4" s="28" t="inlineStr">
        <is>
          <t>TownCloud</t>
        </is>
      </c>
      <c r="L4" s="28" t="inlineStr">
        <is>
          <t>Combined</t>
        </is>
      </c>
      <c r="M4" s="28" t="inlineStr">
        <is>
          <t>Combined Pen %</t>
        </is>
      </c>
    </row>
    <row r="5">
      <c r="A5" s="4" t="inlineStr">
        <is>
          <t>AL</t>
        </is>
      </c>
      <c r="B5" s="17" t="n">
        <v>67</v>
      </c>
      <c r="C5" s="17" t="n">
        <v>461</v>
      </c>
      <c r="D5" s="17" t="n">
        <v>0</v>
      </c>
      <c r="E5" s="34">
        <f>B5+C5+D5</f>
        <v/>
      </c>
      <c r="F5" s="17" t="n">
        <v>220</v>
      </c>
      <c r="G5" s="17" t="n">
        <v>5</v>
      </c>
      <c r="H5" s="17" t="n">
        <v>4</v>
      </c>
      <c r="I5" s="17" t="n">
        <v>8</v>
      </c>
      <c r="J5" s="17" t="n">
        <v>4</v>
      </c>
      <c r="K5" s="17" t="n">
        <v>4</v>
      </c>
      <c r="L5" s="34">
        <f>SUM(F5:K5)</f>
        <v/>
      </c>
      <c r="M5" s="35">
        <f>L5/E5</f>
        <v/>
      </c>
    </row>
    <row r="6">
      <c r="A6" s="4" t="inlineStr">
        <is>
          <t>AK</t>
        </is>
      </c>
      <c r="B6" s="17" t="n">
        <v>14</v>
      </c>
      <c r="C6" s="17" t="n">
        <v>148</v>
      </c>
      <c r="D6" s="17" t="n">
        <v>0</v>
      </c>
      <c r="E6" s="34">
        <f>B6+C6+D6</f>
        <v/>
      </c>
      <c r="F6" s="17" t="n">
        <v>30</v>
      </c>
      <c r="G6" s="17" t="n">
        <v>0</v>
      </c>
      <c r="H6" s="17" t="n">
        <v>8</v>
      </c>
      <c r="I6" s="17" t="n">
        <v>4</v>
      </c>
      <c r="J6" s="17" t="n">
        <v>0</v>
      </c>
      <c r="K6" s="17" t="n">
        <v>0</v>
      </c>
      <c r="L6" s="34">
        <f>SUM(F6:K6)</f>
        <v/>
      </c>
      <c r="M6" s="35">
        <f>L6/E6</f>
        <v/>
      </c>
    </row>
    <row r="7">
      <c r="A7" s="4" t="inlineStr">
        <is>
          <t>AZ</t>
        </is>
      </c>
      <c r="B7" s="17" t="n">
        <v>15</v>
      </c>
      <c r="C7" s="17" t="n">
        <v>91</v>
      </c>
      <c r="D7" s="17" t="n">
        <v>0</v>
      </c>
      <c r="E7" s="34">
        <f>B7+C7+D7</f>
        <v/>
      </c>
      <c r="F7" s="17" t="n">
        <v>230</v>
      </c>
      <c r="G7" s="17" t="n">
        <v>8</v>
      </c>
      <c r="H7" s="17" t="n">
        <v>35</v>
      </c>
      <c r="I7" s="17" t="n">
        <v>12</v>
      </c>
      <c r="J7" s="17" t="n">
        <v>4</v>
      </c>
      <c r="K7" s="17" t="n">
        <v>2</v>
      </c>
      <c r="L7" s="34">
        <f>SUM(F7:K7)</f>
        <v/>
      </c>
      <c r="M7" s="35">
        <f>L7/E7</f>
        <v/>
      </c>
    </row>
    <row r="8">
      <c r="A8" s="4" t="inlineStr">
        <is>
          <t>AR</t>
        </is>
      </c>
      <c r="B8" s="17" t="n">
        <v>75</v>
      </c>
      <c r="C8" s="17" t="n">
        <v>502</v>
      </c>
      <c r="D8" s="17" t="n">
        <v>0</v>
      </c>
      <c r="E8" s="34">
        <f>B8+C8+D8</f>
        <v/>
      </c>
      <c r="F8" s="17" t="n">
        <v>180</v>
      </c>
      <c r="G8" s="17" t="n">
        <v>5</v>
      </c>
      <c r="H8" s="17" t="n">
        <v>5</v>
      </c>
      <c r="I8" s="17" t="n">
        <v>30</v>
      </c>
      <c r="J8" s="17" t="n">
        <v>4</v>
      </c>
      <c r="K8" s="17" t="n">
        <v>4</v>
      </c>
      <c r="L8" s="34">
        <f>SUM(F8:K8)</f>
        <v/>
      </c>
      <c r="M8" s="35">
        <f>L8/E8</f>
        <v/>
      </c>
    </row>
    <row r="9">
      <c r="A9" s="4" t="inlineStr">
        <is>
          <t>CA</t>
        </is>
      </c>
      <c r="B9" s="17" t="n">
        <v>58</v>
      </c>
      <c r="C9" s="17" t="n">
        <v>482</v>
      </c>
      <c r="D9" s="17" t="n">
        <v>0</v>
      </c>
      <c r="E9" s="34">
        <f>B9+C9+D9</f>
        <v/>
      </c>
      <c r="F9" s="17" t="n">
        <v>750</v>
      </c>
      <c r="G9" s="17" t="n">
        <v>12</v>
      </c>
      <c r="H9" s="17" t="n">
        <v>22</v>
      </c>
      <c r="I9" s="17" t="n">
        <v>18</v>
      </c>
      <c r="J9" s="17" t="n">
        <v>8</v>
      </c>
      <c r="K9" s="17" t="n">
        <v>0</v>
      </c>
      <c r="L9" s="34">
        <f>SUM(F9:K9)</f>
        <v/>
      </c>
      <c r="M9" s="35">
        <f>L9/E9</f>
        <v/>
      </c>
    </row>
    <row r="10">
      <c r="A10" s="4" t="inlineStr">
        <is>
          <t>CO</t>
        </is>
      </c>
      <c r="B10" s="17" t="n">
        <v>62</v>
      </c>
      <c r="C10" s="17" t="n">
        <v>271</v>
      </c>
      <c r="D10" s="17" t="n">
        <v>0</v>
      </c>
      <c r="E10" s="34">
        <f>B10+C10+D10</f>
        <v/>
      </c>
      <c r="F10" s="17" t="n">
        <v>320</v>
      </c>
      <c r="G10" s="17" t="n">
        <v>10</v>
      </c>
      <c r="H10" s="17" t="n">
        <v>60</v>
      </c>
      <c r="I10" s="17" t="n">
        <v>50</v>
      </c>
      <c r="J10" s="17" t="n">
        <v>4</v>
      </c>
      <c r="K10" s="17" t="n">
        <v>2</v>
      </c>
      <c r="L10" s="34">
        <f>SUM(F10:K10)</f>
        <v/>
      </c>
      <c r="M10" s="35">
        <f>L10/E10</f>
        <v/>
      </c>
    </row>
    <row r="11">
      <c r="A11" s="4" t="inlineStr">
        <is>
          <t>CT</t>
        </is>
      </c>
      <c r="B11" s="17" t="n">
        <v>0</v>
      </c>
      <c r="C11" s="17" t="n">
        <v>30</v>
      </c>
      <c r="D11" s="17" t="n">
        <v>149</v>
      </c>
      <c r="E11" s="34">
        <f>B11+C11+D11</f>
        <v/>
      </c>
      <c r="F11" s="17" t="n">
        <v>110</v>
      </c>
      <c r="G11" s="17" t="n">
        <v>4</v>
      </c>
      <c r="H11" s="17" t="n">
        <v>0</v>
      </c>
      <c r="I11" s="17" t="n">
        <v>0</v>
      </c>
      <c r="J11" s="17" t="n">
        <v>6</v>
      </c>
      <c r="K11" s="17" t="n">
        <v>0</v>
      </c>
      <c r="L11" s="34">
        <f>SUM(F11:K11)</f>
        <v/>
      </c>
      <c r="M11" s="35">
        <f>L11/E11</f>
        <v/>
      </c>
    </row>
    <row r="12">
      <c r="A12" s="4" t="inlineStr">
        <is>
          <t>DE</t>
        </is>
      </c>
      <c r="B12" s="17" t="n">
        <v>3</v>
      </c>
      <c r="C12" s="17" t="n">
        <v>57</v>
      </c>
      <c r="D12" s="17" t="n">
        <v>0</v>
      </c>
      <c r="E12" s="34">
        <f>B12+C12+D12</f>
        <v/>
      </c>
      <c r="F12" s="17" t="n">
        <v>50</v>
      </c>
      <c r="G12" s="17" t="n">
        <v>2</v>
      </c>
      <c r="H12" s="17" t="n">
        <v>0</v>
      </c>
      <c r="I12" s="17" t="n">
        <v>0</v>
      </c>
      <c r="J12" s="17" t="n">
        <v>4</v>
      </c>
      <c r="K12" s="17" t="n">
        <v>0</v>
      </c>
      <c r="L12" s="34">
        <f>SUM(F12:K12)</f>
        <v/>
      </c>
      <c r="M12" s="35">
        <f>L12/E12</f>
        <v/>
      </c>
    </row>
    <row r="13">
      <c r="A13" s="4" t="inlineStr">
        <is>
          <t>FL</t>
        </is>
      </c>
      <c r="B13" s="17" t="n">
        <v>66</v>
      </c>
      <c r="C13" s="17" t="n">
        <v>412</v>
      </c>
      <c r="D13" s="17" t="n">
        <v>0</v>
      </c>
      <c r="E13" s="34">
        <f>B13+C13+D13</f>
        <v/>
      </c>
      <c r="F13" s="17" t="n">
        <v>540</v>
      </c>
      <c r="G13" s="17" t="n">
        <v>18</v>
      </c>
      <c r="H13" s="17" t="n">
        <v>8</v>
      </c>
      <c r="I13" s="17" t="n">
        <v>14</v>
      </c>
      <c r="J13" s="17" t="n">
        <v>14</v>
      </c>
      <c r="K13" s="17" t="n">
        <v>8</v>
      </c>
      <c r="L13" s="34">
        <f>SUM(F13:K13)</f>
        <v/>
      </c>
      <c r="M13" s="35">
        <f>L13/E13</f>
        <v/>
      </c>
    </row>
    <row r="14">
      <c r="A14" s="4" t="inlineStr">
        <is>
          <t>GA</t>
        </is>
      </c>
      <c r="B14" s="17" t="n">
        <v>153</v>
      </c>
      <c r="C14" s="17" t="n">
        <v>537</v>
      </c>
      <c r="D14" s="17" t="n">
        <v>0</v>
      </c>
      <c r="E14" s="34">
        <f>B14+C14+D14</f>
        <v/>
      </c>
      <c r="F14" s="17" t="n">
        <v>380</v>
      </c>
      <c r="G14" s="17" t="n">
        <v>12</v>
      </c>
      <c r="H14" s="17" t="n">
        <v>4</v>
      </c>
      <c r="I14" s="17" t="n">
        <v>12</v>
      </c>
      <c r="J14" s="17" t="n">
        <v>12</v>
      </c>
      <c r="K14" s="17" t="n">
        <v>14</v>
      </c>
      <c r="L14" s="34">
        <f>SUM(F14:K14)</f>
        <v/>
      </c>
      <c r="M14" s="35">
        <f>L14/E14</f>
        <v/>
      </c>
    </row>
    <row r="15">
      <c r="A15" s="4" t="inlineStr">
        <is>
          <t>HI</t>
        </is>
      </c>
      <c r="B15" s="17" t="n">
        <v>3</v>
      </c>
      <c r="C15" s="17" t="n">
        <v>1</v>
      </c>
      <c r="D15" s="17" t="n">
        <v>0</v>
      </c>
      <c r="E15" s="34">
        <f>B15+C15+D15</f>
        <v/>
      </c>
      <c r="F15" s="17" t="n">
        <v>25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34">
        <f>SUM(F15:K15)</f>
        <v/>
      </c>
      <c r="M15" s="35">
        <f>L15/E15</f>
        <v/>
      </c>
    </row>
    <row r="16">
      <c r="A16" s="4" t="inlineStr">
        <is>
          <t>ID</t>
        </is>
      </c>
      <c r="B16" s="17" t="n">
        <v>44</v>
      </c>
      <c r="C16" s="17" t="n">
        <v>200</v>
      </c>
      <c r="D16" s="17" t="n">
        <v>0</v>
      </c>
      <c r="E16" s="34">
        <f>B16+C16+D16</f>
        <v/>
      </c>
      <c r="F16" s="17" t="n">
        <v>130</v>
      </c>
      <c r="G16" s="17" t="n">
        <v>8</v>
      </c>
      <c r="H16" s="17" t="n">
        <v>110</v>
      </c>
      <c r="I16" s="17" t="n">
        <v>50</v>
      </c>
      <c r="J16" s="17" t="n">
        <v>0</v>
      </c>
      <c r="K16" s="17" t="n">
        <v>0</v>
      </c>
      <c r="L16" s="34">
        <f>SUM(F16:K16)</f>
        <v/>
      </c>
      <c r="M16" s="35">
        <f>L16/E16</f>
        <v/>
      </c>
    </row>
    <row r="17">
      <c r="A17" s="4" t="inlineStr">
        <is>
          <t>IL</t>
        </is>
      </c>
      <c r="B17" s="17" t="n">
        <v>102</v>
      </c>
      <c r="C17" s="17" t="n">
        <v>1298</v>
      </c>
      <c r="D17" s="17" t="n">
        <v>1431</v>
      </c>
      <c r="E17" s="34">
        <f>B17+C17+D17</f>
        <v/>
      </c>
      <c r="F17" s="17" t="n">
        <v>520</v>
      </c>
      <c r="G17" s="17" t="n">
        <v>75</v>
      </c>
      <c r="H17" s="17" t="n">
        <v>6</v>
      </c>
      <c r="I17" s="17" t="n">
        <v>80</v>
      </c>
      <c r="J17" s="17" t="n">
        <v>12</v>
      </c>
      <c r="K17" s="17" t="n">
        <v>2</v>
      </c>
      <c r="L17" s="34">
        <f>SUM(F17:K17)</f>
        <v/>
      </c>
      <c r="M17" s="35">
        <f>L17/E17</f>
        <v/>
      </c>
    </row>
    <row r="18">
      <c r="A18" s="4" t="inlineStr">
        <is>
          <t>IN</t>
        </is>
      </c>
      <c r="B18" s="17" t="n">
        <v>91</v>
      </c>
      <c r="C18" s="17" t="n">
        <v>568</v>
      </c>
      <c r="D18" s="17" t="n">
        <v>1006</v>
      </c>
      <c r="E18" s="34">
        <f>B18+C18+D18</f>
        <v/>
      </c>
      <c r="F18" s="17" t="n">
        <v>290</v>
      </c>
      <c r="G18" s="17" t="n">
        <v>110</v>
      </c>
      <c r="H18" s="17" t="n">
        <v>4</v>
      </c>
      <c r="I18" s="17" t="n">
        <v>50</v>
      </c>
      <c r="J18" s="17" t="n">
        <v>12</v>
      </c>
      <c r="K18" s="17" t="n">
        <v>4</v>
      </c>
      <c r="L18" s="34">
        <f>SUM(F18:K18)</f>
        <v/>
      </c>
      <c r="M18" s="35">
        <f>L18/E18</f>
        <v/>
      </c>
    </row>
    <row r="19">
      <c r="A19" s="4" t="inlineStr">
        <is>
          <t>IA</t>
        </is>
      </c>
      <c r="B19" s="17" t="n">
        <v>99</v>
      </c>
      <c r="C19" s="17" t="n">
        <v>941</v>
      </c>
      <c r="D19" s="17" t="n">
        <v>0</v>
      </c>
      <c r="E19" s="34">
        <f>B19+C19+D19</f>
        <v/>
      </c>
      <c r="F19" s="17" t="n">
        <v>240</v>
      </c>
      <c r="G19" s="17" t="n">
        <v>25</v>
      </c>
      <c r="H19" s="17" t="n">
        <v>18</v>
      </c>
      <c r="I19" s="17" t="n">
        <v>280</v>
      </c>
      <c r="J19" s="17" t="n">
        <v>4</v>
      </c>
      <c r="K19" s="17" t="n">
        <v>0</v>
      </c>
      <c r="L19" s="34">
        <f>SUM(F19:K19)</f>
        <v/>
      </c>
      <c r="M19" s="35">
        <f>L19/E19</f>
        <v/>
      </c>
    </row>
    <row r="20">
      <c r="A20" s="4" t="inlineStr">
        <is>
          <t>KS</t>
        </is>
      </c>
      <c r="B20" s="17" t="n">
        <v>103</v>
      </c>
      <c r="C20" s="17" t="n">
        <v>624</v>
      </c>
      <c r="D20" s="17" t="n">
        <v>1268</v>
      </c>
      <c r="E20" s="34">
        <f>B20+C20+D20</f>
        <v/>
      </c>
      <c r="F20" s="17" t="n">
        <v>220</v>
      </c>
      <c r="G20" s="17" t="n">
        <v>12</v>
      </c>
      <c r="H20" s="17" t="n">
        <v>35</v>
      </c>
      <c r="I20" s="17" t="n">
        <v>220</v>
      </c>
      <c r="J20" s="17" t="n">
        <v>4</v>
      </c>
      <c r="K20" s="17" t="n">
        <v>0</v>
      </c>
      <c r="L20" s="34">
        <f>SUM(F20:K20)</f>
        <v/>
      </c>
      <c r="M20" s="35">
        <f>L20/E20</f>
        <v/>
      </c>
    </row>
    <row r="21">
      <c r="A21" s="4" t="inlineStr">
        <is>
          <t>KY</t>
        </is>
      </c>
      <c r="B21" s="17" t="n">
        <v>118</v>
      </c>
      <c r="C21" s="17" t="n">
        <v>418</v>
      </c>
      <c r="D21" s="17" t="n">
        <v>0</v>
      </c>
      <c r="E21" s="34">
        <f>B21+C21+D21</f>
        <v/>
      </c>
      <c r="F21" s="17" t="n">
        <v>230</v>
      </c>
      <c r="G21" s="17" t="n">
        <v>18</v>
      </c>
      <c r="H21" s="17" t="n">
        <v>4</v>
      </c>
      <c r="I21" s="17" t="n">
        <v>18</v>
      </c>
      <c r="J21" s="17" t="n">
        <v>14</v>
      </c>
      <c r="K21" s="17" t="n">
        <v>6</v>
      </c>
      <c r="L21" s="34">
        <f>SUM(F21:K21)</f>
        <v/>
      </c>
      <c r="M21" s="35">
        <f>L21/E21</f>
        <v/>
      </c>
    </row>
    <row r="22">
      <c r="A22" s="4" t="inlineStr">
        <is>
          <t>LA</t>
        </is>
      </c>
      <c r="B22" s="17" t="n">
        <v>60</v>
      </c>
      <c r="C22" s="17" t="n">
        <v>304</v>
      </c>
      <c r="D22" s="17" t="n">
        <v>0</v>
      </c>
      <c r="E22" s="34">
        <f>B22+C22+D22</f>
        <v/>
      </c>
      <c r="F22" s="17" t="n">
        <v>200</v>
      </c>
      <c r="G22" s="17" t="n">
        <v>4</v>
      </c>
      <c r="H22" s="17" t="n">
        <v>2</v>
      </c>
      <c r="I22" s="17" t="n">
        <v>12</v>
      </c>
      <c r="J22" s="17" t="n">
        <v>4</v>
      </c>
      <c r="K22" s="17" t="n">
        <v>4</v>
      </c>
      <c r="L22" s="34">
        <f>SUM(F22:K22)</f>
        <v/>
      </c>
      <c r="M22" s="35">
        <f>L22/E22</f>
        <v/>
      </c>
    </row>
    <row r="23">
      <c r="A23" s="4" t="inlineStr">
        <is>
          <t>ME</t>
        </is>
      </c>
      <c r="B23" s="17" t="n">
        <v>16</v>
      </c>
      <c r="C23" s="17" t="n">
        <v>22</v>
      </c>
      <c r="D23" s="17" t="n">
        <v>467</v>
      </c>
      <c r="E23" s="34">
        <f>B23+C23+D23</f>
        <v/>
      </c>
      <c r="F23" s="17" t="n">
        <v>70</v>
      </c>
      <c r="G23" s="17" t="n">
        <v>4</v>
      </c>
      <c r="H23" s="17" t="n">
        <v>0</v>
      </c>
      <c r="I23" s="17" t="n">
        <v>4</v>
      </c>
      <c r="J23" s="17" t="n">
        <v>4</v>
      </c>
      <c r="K23" s="17" t="n">
        <v>0</v>
      </c>
      <c r="L23" s="34">
        <f>SUM(F23:K23)</f>
        <v/>
      </c>
      <c r="M23" s="35">
        <f>L23/E23</f>
        <v/>
      </c>
    </row>
    <row r="24">
      <c r="A24" s="4" t="inlineStr">
        <is>
          <t>MD</t>
        </is>
      </c>
      <c r="B24" s="17" t="n">
        <v>23</v>
      </c>
      <c r="C24" s="17" t="n">
        <v>157</v>
      </c>
      <c r="D24" s="17" t="n">
        <v>0</v>
      </c>
      <c r="E24" s="34">
        <f>B24+C24+D24</f>
        <v/>
      </c>
      <c r="F24" s="17" t="n">
        <v>200</v>
      </c>
      <c r="G24" s="17" t="n">
        <v>6</v>
      </c>
      <c r="H24" s="17" t="n">
        <v>2</v>
      </c>
      <c r="I24" s="17" t="n">
        <v>4</v>
      </c>
      <c r="J24" s="17" t="n">
        <v>35</v>
      </c>
      <c r="K24" s="17" t="n">
        <v>4</v>
      </c>
      <c r="L24" s="34">
        <f>SUM(F24:K24)</f>
        <v/>
      </c>
      <c r="M24" s="35">
        <f>L24/E24</f>
        <v/>
      </c>
    </row>
    <row r="25">
      <c r="A25" s="4" t="inlineStr">
        <is>
          <t>MA</t>
        </is>
      </c>
      <c r="B25" s="17" t="n">
        <v>5</v>
      </c>
      <c r="C25" s="17" t="n">
        <v>53</v>
      </c>
      <c r="D25" s="17" t="n">
        <v>298</v>
      </c>
      <c r="E25" s="34">
        <f>B25+C25+D25</f>
        <v/>
      </c>
      <c r="F25" s="17" t="n">
        <v>240</v>
      </c>
      <c r="G25" s="17" t="n">
        <v>12</v>
      </c>
      <c r="H25" s="17" t="n">
        <v>0</v>
      </c>
      <c r="I25" s="17" t="n">
        <v>0</v>
      </c>
      <c r="J25" s="17" t="n">
        <v>14</v>
      </c>
      <c r="K25" s="17" t="n">
        <v>0</v>
      </c>
      <c r="L25" s="34">
        <f>SUM(F25:K25)</f>
        <v/>
      </c>
      <c r="M25" s="35">
        <f>L25/E25</f>
        <v/>
      </c>
    </row>
    <row r="26">
      <c r="A26" s="4" t="inlineStr">
        <is>
          <t>MI</t>
        </is>
      </c>
      <c r="B26" s="17" t="n">
        <v>83</v>
      </c>
      <c r="C26" s="17" t="n">
        <v>533</v>
      </c>
      <c r="D26" s="17" t="n">
        <v>1240</v>
      </c>
      <c r="E26" s="34">
        <f>B26+C26+D26</f>
        <v/>
      </c>
      <c r="F26" s="17" t="n">
        <v>380</v>
      </c>
      <c r="G26" s="17" t="n">
        <v>1450</v>
      </c>
      <c r="H26" s="17" t="n">
        <v>4</v>
      </c>
      <c r="I26" s="17" t="n">
        <v>35</v>
      </c>
      <c r="J26" s="17" t="n">
        <v>12</v>
      </c>
      <c r="K26" s="17" t="n">
        <v>0</v>
      </c>
      <c r="L26" s="34">
        <f>SUM(F26:K26)</f>
        <v/>
      </c>
      <c r="M26" s="35">
        <f>L26/E26</f>
        <v/>
      </c>
    </row>
    <row r="27">
      <c r="A27" s="4" t="inlineStr">
        <is>
          <t>MN</t>
        </is>
      </c>
      <c r="B27" s="17" t="n">
        <v>87</v>
      </c>
      <c r="C27" s="17" t="n">
        <v>853</v>
      </c>
      <c r="D27" s="17" t="n">
        <v>1781</v>
      </c>
      <c r="E27" s="34">
        <f>B27+C27+D27</f>
        <v/>
      </c>
      <c r="F27" s="17" t="n">
        <v>320</v>
      </c>
      <c r="G27" s="17" t="n">
        <v>60</v>
      </c>
      <c r="H27" s="17" t="n">
        <v>18</v>
      </c>
      <c r="I27" s="17" t="n">
        <v>200</v>
      </c>
      <c r="J27" s="17" t="n">
        <v>6</v>
      </c>
      <c r="K27" s="17" t="n">
        <v>0</v>
      </c>
      <c r="L27" s="34">
        <f>SUM(F27:K27)</f>
        <v/>
      </c>
      <c r="M27" s="35">
        <f>L27/E27</f>
        <v/>
      </c>
    </row>
    <row r="28">
      <c r="A28" s="4" t="inlineStr">
        <is>
          <t>MS</t>
        </is>
      </c>
      <c r="B28" s="17" t="n">
        <v>82</v>
      </c>
      <c r="C28" s="17" t="n">
        <v>297</v>
      </c>
      <c r="D28" s="17" t="n">
        <v>0</v>
      </c>
      <c r="E28" s="34">
        <f>B28+C28+D28</f>
        <v/>
      </c>
      <c r="F28" s="17" t="n">
        <v>170</v>
      </c>
      <c r="G28" s="17" t="n">
        <v>4</v>
      </c>
      <c r="H28" s="17" t="n">
        <v>2</v>
      </c>
      <c r="I28" s="17" t="n">
        <v>12</v>
      </c>
      <c r="J28" s="17" t="n">
        <v>4</v>
      </c>
      <c r="K28" s="17" t="n">
        <v>4</v>
      </c>
      <c r="L28" s="34">
        <f>SUM(F28:K28)</f>
        <v/>
      </c>
      <c r="M28" s="35">
        <f>L28/E28</f>
        <v/>
      </c>
    </row>
    <row r="29">
      <c r="A29" s="4" t="inlineStr">
        <is>
          <t>MO</t>
        </is>
      </c>
      <c r="B29" s="17" t="n">
        <v>114</v>
      </c>
      <c r="C29" s="17" t="n">
        <v>954</v>
      </c>
      <c r="D29" s="17" t="n">
        <v>312</v>
      </c>
      <c r="E29" s="34">
        <f>B29+C29+D29</f>
        <v/>
      </c>
      <c r="F29" s="17" t="n">
        <v>320</v>
      </c>
      <c r="G29" s="17" t="n">
        <v>25</v>
      </c>
      <c r="H29" s="17" t="n">
        <v>18</v>
      </c>
      <c r="I29" s="17" t="n">
        <v>130</v>
      </c>
      <c r="J29" s="17" t="n">
        <v>8</v>
      </c>
      <c r="K29" s="17" t="n">
        <v>4</v>
      </c>
      <c r="L29" s="34">
        <f>SUM(F29:K29)</f>
        <v/>
      </c>
      <c r="M29" s="35">
        <f>L29/E29</f>
        <v/>
      </c>
    </row>
    <row r="30">
      <c r="A30" s="4" t="inlineStr">
        <is>
          <t>MT</t>
        </is>
      </c>
      <c r="B30" s="17" t="n">
        <v>54</v>
      </c>
      <c r="C30" s="17" t="n">
        <v>127</v>
      </c>
      <c r="D30" s="17" t="n">
        <v>0</v>
      </c>
      <c r="E30" s="34">
        <f>B30+C30+D30</f>
        <v/>
      </c>
      <c r="F30" s="17" t="n">
        <v>90</v>
      </c>
      <c r="G30" s="17" t="n">
        <v>4</v>
      </c>
      <c r="H30" s="17" t="n">
        <v>70</v>
      </c>
      <c r="I30" s="17" t="n">
        <v>70</v>
      </c>
      <c r="J30" s="17" t="n">
        <v>0</v>
      </c>
      <c r="K30" s="17" t="n">
        <v>0</v>
      </c>
      <c r="L30" s="34">
        <f>SUM(F30:K30)</f>
        <v/>
      </c>
      <c r="M30" s="35">
        <f>L30/E30</f>
        <v/>
      </c>
    </row>
    <row r="31">
      <c r="A31" s="4" t="inlineStr">
        <is>
          <t>NE</t>
        </is>
      </c>
      <c r="B31" s="17" t="n">
        <v>93</v>
      </c>
      <c r="C31" s="17" t="n">
        <v>530</v>
      </c>
      <c r="D31" s="17" t="n">
        <v>415</v>
      </c>
      <c r="E31" s="34">
        <f>B31+C31+D31</f>
        <v/>
      </c>
      <c r="F31" s="17" t="n">
        <v>130</v>
      </c>
      <c r="G31" s="17" t="n">
        <v>8</v>
      </c>
      <c r="H31" s="17" t="n">
        <v>25</v>
      </c>
      <c r="I31" s="17" t="n">
        <v>480</v>
      </c>
      <c r="J31" s="17" t="n">
        <v>4</v>
      </c>
      <c r="K31" s="17" t="n">
        <v>0</v>
      </c>
      <c r="L31" s="34">
        <f>SUM(F31:K31)</f>
        <v/>
      </c>
      <c r="M31" s="35">
        <f>L31/E31</f>
        <v/>
      </c>
    </row>
    <row r="32">
      <c r="A32" s="4" t="inlineStr">
        <is>
          <t>NV</t>
        </is>
      </c>
      <c r="B32" s="17" t="n">
        <v>16</v>
      </c>
      <c r="C32" s="17" t="n">
        <v>19</v>
      </c>
      <c r="D32" s="17" t="n">
        <v>0</v>
      </c>
      <c r="E32" s="34">
        <f>B32+C32+D32</f>
        <v/>
      </c>
      <c r="F32" s="17" t="n">
        <v>110</v>
      </c>
      <c r="G32" s="17" t="n">
        <v>4</v>
      </c>
      <c r="H32" s="17" t="n">
        <v>50</v>
      </c>
      <c r="I32" s="17" t="n">
        <v>8</v>
      </c>
      <c r="J32" s="17" t="n">
        <v>0</v>
      </c>
      <c r="K32" s="17" t="n">
        <v>0</v>
      </c>
      <c r="L32" s="34">
        <f>SUM(F32:K32)</f>
        <v/>
      </c>
      <c r="M32" s="35">
        <f>L32/E32</f>
        <v/>
      </c>
    </row>
    <row r="33">
      <c r="A33" s="4" t="inlineStr">
        <is>
          <t>NH</t>
        </is>
      </c>
      <c r="B33" s="17" t="n">
        <v>10</v>
      </c>
      <c r="C33" s="17" t="n">
        <v>13</v>
      </c>
      <c r="D33" s="17" t="n">
        <v>221</v>
      </c>
      <c r="E33" s="34">
        <f>B33+C33+D33</f>
        <v/>
      </c>
      <c r="F33" s="17" t="n">
        <v>80</v>
      </c>
      <c r="G33" s="17" t="n">
        <v>4</v>
      </c>
      <c r="H33" s="17" t="n">
        <v>0</v>
      </c>
      <c r="I33" s="17" t="n">
        <v>0</v>
      </c>
      <c r="J33" s="17" t="n">
        <v>4</v>
      </c>
      <c r="K33" s="17" t="n">
        <v>0</v>
      </c>
      <c r="L33" s="34">
        <f>SUM(F33:K33)</f>
        <v/>
      </c>
      <c r="M33" s="35">
        <f>L33/E33</f>
        <v/>
      </c>
    </row>
    <row r="34">
      <c r="A34" s="4" t="inlineStr">
        <is>
          <t>NJ</t>
        </is>
      </c>
      <c r="B34" s="17" t="n">
        <v>21</v>
      </c>
      <c r="C34" s="17" t="n">
        <v>565</v>
      </c>
      <c r="D34" s="17" t="n">
        <v>0</v>
      </c>
      <c r="E34" s="34">
        <f>B34+C34+D34</f>
        <v/>
      </c>
      <c r="F34" s="17" t="n">
        <v>290</v>
      </c>
      <c r="G34" s="17" t="n">
        <v>20</v>
      </c>
      <c r="H34" s="17" t="n">
        <v>2</v>
      </c>
      <c r="I34" s="17" t="n">
        <v>4</v>
      </c>
      <c r="J34" s="17" t="n">
        <v>35</v>
      </c>
      <c r="K34" s="17" t="n">
        <v>2</v>
      </c>
      <c r="L34" s="34">
        <f>SUM(F34:K34)</f>
        <v/>
      </c>
      <c r="M34" s="35">
        <f>L34/E34</f>
        <v/>
      </c>
    </row>
    <row r="35">
      <c r="A35" s="4" t="inlineStr">
        <is>
          <t>NM</t>
        </is>
      </c>
      <c r="B35" s="17" t="n">
        <v>33</v>
      </c>
      <c r="C35" s="17" t="n">
        <v>105</v>
      </c>
      <c r="D35" s="17" t="n">
        <v>0</v>
      </c>
      <c r="E35" s="34">
        <f>B35+C35+D35</f>
        <v/>
      </c>
      <c r="F35" s="17" t="n">
        <v>110</v>
      </c>
      <c r="G35" s="17" t="n">
        <v>2</v>
      </c>
      <c r="H35" s="17" t="n">
        <v>30</v>
      </c>
      <c r="I35" s="17" t="n">
        <v>25</v>
      </c>
      <c r="J35" s="17" t="n">
        <v>0</v>
      </c>
      <c r="K35" s="17" t="n">
        <v>0</v>
      </c>
      <c r="L35" s="34">
        <f>SUM(F35:K35)</f>
        <v/>
      </c>
      <c r="M35" s="35">
        <f>L35/E35</f>
        <v/>
      </c>
    </row>
    <row r="36">
      <c r="A36" s="4" t="inlineStr">
        <is>
          <t>NY</t>
        </is>
      </c>
      <c r="B36" s="17" t="n">
        <v>57</v>
      </c>
      <c r="C36" s="17" t="n">
        <v>614</v>
      </c>
      <c r="D36" s="17" t="n">
        <v>933</v>
      </c>
      <c r="E36" s="34">
        <f>B36+C36+D36</f>
        <v/>
      </c>
      <c r="F36" s="17" t="n">
        <v>470</v>
      </c>
      <c r="G36" s="17" t="n">
        <v>50</v>
      </c>
      <c r="H36" s="17" t="n">
        <v>6</v>
      </c>
      <c r="I36" s="17" t="n">
        <v>18</v>
      </c>
      <c r="J36" s="17" t="n">
        <v>50</v>
      </c>
      <c r="K36" s="17" t="n">
        <v>4</v>
      </c>
      <c r="L36" s="34">
        <f>SUM(F36:K36)</f>
        <v/>
      </c>
      <c r="M36" s="35">
        <f>L36/E36</f>
        <v/>
      </c>
    </row>
    <row r="37">
      <c r="A37" s="4" t="inlineStr">
        <is>
          <t>NC</t>
        </is>
      </c>
      <c r="B37" s="17" t="n">
        <v>100</v>
      </c>
      <c r="C37" s="17" t="n">
        <v>552</v>
      </c>
      <c r="D37" s="17" t="n">
        <v>0</v>
      </c>
      <c r="E37" s="34">
        <f>B37+C37+D37</f>
        <v/>
      </c>
      <c r="F37" s="17" t="n">
        <v>400</v>
      </c>
      <c r="G37" s="17" t="n">
        <v>18</v>
      </c>
      <c r="H37" s="17" t="n">
        <v>4</v>
      </c>
      <c r="I37" s="17" t="n">
        <v>18</v>
      </c>
      <c r="J37" s="17" t="n">
        <v>30</v>
      </c>
      <c r="K37" s="17" t="n">
        <v>30</v>
      </c>
      <c r="L37" s="34">
        <f>SUM(F37:K37)</f>
        <v/>
      </c>
      <c r="M37" s="35">
        <f>L37/E37</f>
        <v/>
      </c>
    </row>
    <row r="38">
      <c r="A38" s="4" t="inlineStr">
        <is>
          <t>ND</t>
        </is>
      </c>
      <c r="B38" s="17" t="n">
        <v>53</v>
      </c>
      <c r="C38" s="17" t="n">
        <v>357</v>
      </c>
      <c r="D38" s="17" t="n">
        <v>1311</v>
      </c>
      <c r="E38" s="34">
        <f>B38+C38+D38</f>
        <v/>
      </c>
      <c r="F38" s="17" t="n">
        <v>70</v>
      </c>
      <c r="G38" s="17" t="n">
        <v>4</v>
      </c>
      <c r="H38" s="17" t="n">
        <v>30</v>
      </c>
      <c r="I38" s="17" t="n">
        <v>130</v>
      </c>
      <c r="J38" s="17" t="n">
        <v>0</v>
      </c>
      <c r="K38" s="17" t="n">
        <v>0</v>
      </c>
      <c r="L38" s="34">
        <f>SUM(F38:K38)</f>
        <v/>
      </c>
      <c r="M38" s="35">
        <f>L38/E38</f>
        <v/>
      </c>
    </row>
    <row r="39">
      <c r="A39" s="4" t="inlineStr">
        <is>
          <t>OH</t>
        </is>
      </c>
      <c r="B39" s="17" t="n">
        <v>88</v>
      </c>
      <c r="C39" s="17" t="n">
        <v>937</v>
      </c>
      <c r="D39" s="17" t="n">
        <v>1308</v>
      </c>
      <c r="E39" s="34">
        <f>B39+C39+D39</f>
        <v/>
      </c>
      <c r="F39" s="17" t="n">
        <v>470</v>
      </c>
      <c r="G39" s="17" t="n">
        <v>220</v>
      </c>
      <c r="H39" s="17" t="n">
        <v>6</v>
      </c>
      <c r="I39" s="17" t="n">
        <v>35</v>
      </c>
      <c r="J39" s="17" t="n">
        <v>100</v>
      </c>
      <c r="K39" s="17" t="n">
        <v>4</v>
      </c>
      <c r="L39" s="34">
        <f>SUM(F39:K39)</f>
        <v/>
      </c>
      <c r="M39" s="35">
        <f>L39/E39</f>
        <v/>
      </c>
    </row>
    <row r="40">
      <c r="A40" s="4" t="inlineStr">
        <is>
          <t>OK</t>
        </is>
      </c>
      <c r="B40" s="17" t="n">
        <v>77</v>
      </c>
      <c r="C40" s="17" t="n">
        <v>599</v>
      </c>
      <c r="D40" s="17" t="n">
        <v>0</v>
      </c>
      <c r="E40" s="34">
        <f>B40+C40+D40</f>
        <v/>
      </c>
      <c r="F40" s="17" t="n">
        <v>200</v>
      </c>
      <c r="G40" s="17" t="n">
        <v>6</v>
      </c>
      <c r="H40" s="17" t="n">
        <v>18</v>
      </c>
      <c r="I40" s="17" t="n">
        <v>70</v>
      </c>
      <c r="J40" s="17" t="n">
        <v>4</v>
      </c>
      <c r="K40" s="17" t="n">
        <v>4</v>
      </c>
      <c r="L40" s="34">
        <f>SUM(F40:K40)</f>
        <v/>
      </c>
      <c r="M40" s="35">
        <f>L40/E40</f>
        <v/>
      </c>
    </row>
    <row r="41">
      <c r="A41" s="4" t="inlineStr">
        <is>
          <t>OR</t>
        </is>
      </c>
      <c r="B41" s="17" t="n">
        <v>36</v>
      </c>
      <c r="C41" s="17" t="n">
        <v>241</v>
      </c>
      <c r="D41" s="17" t="n">
        <v>0</v>
      </c>
      <c r="E41" s="34">
        <f>B41+C41+D41</f>
        <v/>
      </c>
      <c r="F41" s="17" t="n">
        <v>220</v>
      </c>
      <c r="G41" s="17" t="n">
        <v>8</v>
      </c>
      <c r="H41" s="17" t="n">
        <v>35</v>
      </c>
      <c r="I41" s="17" t="n">
        <v>18</v>
      </c>
      <c r="J41" s="17" t="n">
        <v>4</v>
      </c>
      <c r="K41" s="17" t="n">
        <v>0</v>
      </c>
      <c r="L41" s="34">
        <f>SUM(F41:K41)</f>
        <v/>
      </c>
      <c r="M41" s="35">
        <f>L41/E41</f>
        <v/>
      </c>
    </row>
    <row r="42">
      <c r="A42" s="4" t="inlineStr">
        <is>
          <t>PA</t>
        </is>
      </c>
      <c r="B42" s="17" t="n">
        <v>67</v>
      </c>
      <c r="C42" s="17" t="n">
        <v>1015</v>
      </c>
      <c r="D42" s="17" t="n">
        <v>1546</v>
      </c>
      <c r="E42" s="34">
        <f>B42+C42+D42</f>
        <v/>
      </c>
      <c r="F42" s="17" t="n">
        <v>480</v>
      </c>
      <c r="G42" s="17" t="n">
        <v>60</v>
      </c>
      <c r="H42" s="17" t="n">
        <v>4</v>
      </c>
      <c r="I42" s="17" t="n">
        <v>25</v>
      </c>
      <c r="J42" s="17" t="n">
        <v>220</v>
      </c>
      <c r="K42" s="17" t="n">
        <v>4</v>
      </c>
      <c r="L42" s="34">
        <f>SUM(F42:K42)</f>
        <v/>
      </c>
      <c r="M42" s="35">
        <f>L42/E42</f>
        <v/>
      </c>
    </row>
    <row r="43">
      <c r="A43" s="4" t="inlineStr">
        <is>
          <t>RI</t>
        </is>
      </c>
      <c r="B43" s="17" t="n">
        <v>0</v>
      </c>
      <c r="C43" s="17" t="n">
        <v>8</v>
      </c>
      <c r="D43" s="17" t="n">
        <v>31</v>
      </c>
      <c r="E43" s="34">
        <f>B43+C43+D43</f>
        <v/>
      </c>
      <c r="F43" s="17" t="n">
        <v>35</v>
      </c>
      <c r="G43" s="17" t="n">
        <v>2</v>
      </c>
      <c r="H43" s="17" t="n">
        <v>0</v>
      </c>
      <c r="I43" s="17" t="n">
        <v>0</v>
      </c>
      <c r="J43" s="17" t="n">
        <v>4</v>
      </c>
      <c r="K43" s="17" t="n">
        <v>0</v>
      </c>
      <c r="L43" s="34">
        <f>SUM(F43:K43)</f>
        <v/>
      </c>
      <c r="M43" s="35">
        <f>L43/E43</f>
        <v/>
      </c>
    </row>
    <row r="44">
      <c r="A44" s="4" t="inlineStr">
        <is>
          <t>SC</t>
        </is>
      </c>
      <c r="B44" s="17" t="n">
        <v>46</v>
      </c>
      <c r="C44" s="17" t="n">
        <v>271</v>
      </c>
      <c r="D44" s="17" t="n">
        <v>0</v>
      </c>
      <c r="E44" s="34">
        <f>B44+C44+D44</f>
        <v/>
      </c>
      <c r="F44" s="17" t="n">
        <v>220</v>
      </c>
      <c r="G44" s="17" t="n">
        <v>8</v>
      </c>
      <c r="H44" s="17" t="n">
        <v>2</v>
      </c>
      <c r="I44" s="17" t="n">
        <v>8</v>
      </c>
      <c r="J44" s="17" t="n">
        <v>18</v>
      </c>
      <c r="K44" s="17" t="n">
        <v>18</v>
      </c>
      <c r="L44" s="34">
        <f>SUM(F44:K44)</f>
        <v/>
      </c>
      <c r="M44" s="35">
        <f>L44/E44</f>
        <v/>
      </c>
    </row>
    <row r="45">
      <c r="A45" s="4" t="inlineStr">
        <is>
          <t>SD</t>
        </is>
      </c>
      <c r="B45" s="17" t="n">
        <v>66</v>
      </c>
      <c r="C45" s="17" t="n">
        <v>311</v>
      </c>
      <c r="D45" s="17" t="n">
        <v>921</v>
      </c>
      <c r="E45" s="34">
        <f>B45+C45+D45</f>
        <v/>
      </c>
      <c r="F45" s="17" t="n">
        <v>70</v>
      </c>
      <c r="G45" s="17" t="n">
        <v>4</v>
      </c>
      <c r="H45" s="17" t="n">
        <v>30</v>
      </c>
      <c r="I45" s="17" t="n">
        <v>220</v>
      </c>
      <c r="J45" s="17" t="n">
        <v>0</v>
      </c>
      <c r="K45" s="17" t="n">
        <v>0</v>
      </c>
      <c r="L45" s="34">
        <f>SUM(F45:K45)</f>
        <v/>
      </c>
      <c r="M45" s="35">
        <f>L45/E45</f>
        <v/>
      </c>
    </row>
    <row r="46">
      <c r="A46" s="4" t="inlineStr">
        <is>
          <t>TN</t>
        </is>
      </c>
      <c r="B46" s="17" t="n">
        <v>92</v>
      </c>
      <c r="C46" s="17" t="n">
        <v>345</v>
      </c>
      <c r="D46" s="17" t="n">
        <v>0</v>
      </c>
      <c r="E46" s="34">
        <f>B46+C46+D46</f>
        <v/>
      </c>
      <c r="F46" s="17" t="n">
        <v>270</v>
      </c>
      <c r="G46" s="17" t="n">
        <v>18</v>
      </c>
      <c r="H46" s="17" t="n">
        <v>4</v>
      </c>
      <c r="I46" s="17" t="n">
        <v>18</v>
      </c>
      <c r="J46" s="17" t="n">
        <v>14</v>
      </c>
      <c r="K46" s="17" t="n">
        <v>22</v>
      </c>
      <c r="L46" s="34">
        <f>SUM(F46:K46)</f>
        <v/>
      </c>
      <c r="M46" s="35">
        <f>L46/E46</f>
        <v/>
      </c>
    </row>
    <row r="47">
      <c r="A47" s="4" t="inlineStr">
        <is>
          <t>TX</t>
        </is>
      </c>
      <c r="B47" s="17" t="n">
        <v>254</v>
      </c>
      <c r="C47" s="17" t="n">
        <v>1221</v>
      </c>
      <c r="D47" s="17" t="n">
        <v>0</v>
      </c>
      <c r="E47" s="34">
        <f>B47+C47+D47</f>
        <v/>
      </c>
      <c r="F47" s="17" t="n">
        <v>1100</v>
      </c>
      <c r="G47" s="17" t="n">
        <v>30</v>
      </c>
      <c r="H47" s="17" t="n">
        <v>30</v>
      </c>
      <c r="I47" s="17" t="n">
        <v>90</v>
      </c>
      <c r="J47" s="17" t="n">
        <v>14</v>
      </c>
      <c r="K47" s="17" t="n">
        <v>8</v>
      </c>
      <c r="L47" s="34">
        <f>SUM(F47:K47)</f>
        <v/>
      </c>
      <c r="M47" s="35">
        <f>L47/E47</f>
        <v/>
      </c>
    </row>
    <row r="48">
      <c r="A48" s="4" t="inlineStr">
        <is>
          <t>UT</t>
        </is>
      </c>
      <c r="B48" s="17" t="n">
        <v>29</v>
      </c>
      <c r="C48" s="17" t="n">
        <v>248</v>
      </c>
      <c r="D48" s="17" t="n">
        <v>0</v>
      </c>
      <c r="E48" s="34">
        <f>B48+C48+D48</f>
        <v/>
      </c>
      <c r="F48" s="17" t="n">
        <v>170</v>
      </c>
      <c r="G48" s="17" t="n">
        <v>8</v>
      </c>
      <c r="H48" s="17" t="n">
        <v>280</v>
      </c>
      <c r="I48" s="17" t="n">
        <v>25</v>
      </c>
      <c r="J48" s="17" t="n">
        <v>4</v>
      </c>
      <c r="K48" s="17" t="n">
        <v>0</v>
      </c>
      <c r="L48" s="34">
        <f>SUM(F48:K48)</f>
        <v/>
      </c>
      <c r="M48" s="35">
        <f>L48/E48</f>
        <v/>
      </c>
    </row>
    <row r="49">
      <c r="A49" s="4" t="inlineStr">
        <is>
          <t>VT</t>
        </is>
      </c>
      <c r="B49" s="17" t="n">
        <v>14</v>
      </c>
      <c r="C49" s="17" t="n">
        <v>47</v>
      </c>
      <c r="D49" s="17" t="n">
        <v>237</v>
      </c>
      <c r="E49" s="34">
        <f>B49+C49+D49</f>
        <v/>
      </c>
      <c r="F49" s="17" t="n">
        <v>50</v>
      </c>
      <c r="G49" s="17" t="n">
        <v>2</v>
      </c>
      <c r="H49" s="17" t="n">
        <v>0</v>
      </c>
      <c r="I49" s="17" t="n">
        <v>0</v>
      </c>
      <c r="J49" s="17" t="n">
        <v>4</v>
      </c>
      <c r="K49" s="17" t="n">
        <v>0</v>
      </c>
      <c r="L49" s="34">
        <f>SUM(F49:K49)</f>
        <v/>
      </c>
      <c r="M49" s="35">
        <f>L49/E49</f>
        <v/>
      </c>
    </row>
    <row r="50">
      <c r="A50" s="4" t="inlineStr">
        <is>
          <t>VA</t>
        </is>
      </c>
      <c r="B50" s="17" t="n">
        <v>95</v>
      </c>
      <c r="C50" s="17" t="n">
        <v>229</v>
      </c>
      <c r="D50" s="17" t="n">
        <v>0</v>
      </c>
      <c r="E50" s="34">
        <f>B50+C50+D50</f>
        <v/>
      </c>
      <c r="F50" s="17" t="n">
        <v>320</v>
      </c>
      <c r="G50" s="17" t="n">
        <v>18</v>
      </c>
      <c r="H50" s="17" t="n">
        <v>4</v>
      </c>
      <c r="I50" s="17" t="n">
        <v>12</v>
      </c>
      <c r="J50" s="17" t="n">
        <v>60</v>
      </c>
      <c r="K50" s="17" t="n">
        <v>50</v>
      </c>
      <c r="L50" s="34">
        <f>SUM(F50:K50)</f>
        <v/>
      </c>
      <c r="M50" s="35">
        <f>L50/E50</f>
        <v/>
      </c>
    </row>
    <row r="51">
      <c r="A51" s="4" t="inlineStr">
        <is>
          <t>WA</t>
        </is>
      </c>
      <c r="B51" s="17" t="n">
        <v>39</v>
      </c>
      <c r="C51" s="17" t="n">
        <v>281</v>
      </c>
      <c r="D51" s="17" t="n">
        <v>0</v>
      </c>
      <c r="E51" s="34">
        <f>B51+C51+D51</f>
        <v/>
      </c>
      <c r="F51" s="17" t="n">
        <v>320</v>
      </c>
      <c r="G51" s="17" t="n">
        <v>12</v>
      </c>
      <c r="H51" s="17" t="n">
        <v>35</v>
      </c>
      <c r="I51" s="17" t="n">
        <v>25</v>
      </c>
      <c r="J51" s="17" t="n">
        <v>6</v>
      </c>
      <c r="K51" s="17" t="n">
        <v>0</v>
      </c>
      <c r="L51" s="34">
        <f>SUM(F51:K51)</f>
        <v/>
      </c>
      <c r="M51" s="35">
        <f>L51/E51</f>
        <v/>
      </c>
    </row>
    <row r="52">
      <c r="A52" s="4" t="inlineStr">
        <is>
          <t>WV</t>
        </is>
      </c>
      <c r="B52" s="17" t="n">
        <v>55</v>
      </c>
      <c r="C52" s="17" t="n">
        <v>232</v>
      </c>
      <c r="D52" s="17" t="n">
        <v>0</v>
      </c>
      <c r="E52" s="34">
        <f>B52+C52+D52</f>
        <v/>
      </c>
      <c r="F52" s="17" t="n">
        <v>110</v>
      </c>
      <c r="G52" s="17" t="n">
        <v>6</v>
      </c>
      <c r="H52" s="17" t="n">
        <v>0</v>
      </c>
      <c r="I52" s="17" t="n">
        <v>8</v>
      </c>
      <c r="J52" s="17" t="n">
        <v>60</v>
      </c>
      <c r="K52" s="17" t="n">
        <v>4</v>
      </c>
      <c r="L52" s="34">
        <f>SUM(F52:K52)</f>
        <v/>
      </c>
      <c r="M52" s="35">
        <f>L52/E52</f>
        <v/>
      </c>
    </row>
    <row r="53">
      <c r="A53" s="4" t="inlineStr">
        <is>
          <t>WI</t>
        </is>
      </c>
      <c r="B53" s="17" t="n">
        <v>72</v>
      </c>
      <c r="C53" s="17" t="n">
        <v>596</v>
      </c>
      <c r="D53" s="17" t="n">
        <v>1255</v>
      </c>
      <c r="E53" s="34">
        <f>B53+C53+D53</f>
        <v/>
      </c>
      <c r="F53" s="17" t="n">
        <v>280</v>
      </c>
      <c r="G53" s="17" t="n">
        <v>75</v>
      </c>
      <c r="H53" s="17" t="n">
        <v>6</v>
      </c>
      <c r="I53" s="17" t="n">
        <v>50</v>
      </c>
      <c r="J53" s="17" t="n">
        <v>12</v>
      </c>
      <c r="K53" s="17" t="n">
        <v>0</v>
      </c>
      <c r="L53" s="34">
        <f>SUM(F53:K53)</f>
        <v/>
      </c>
      <c r="M53" s="35">
        <f>L53/E53</f>
        <v/>
      </c>
    </row>
    <row r="54">
      <c r="A54" s="4" t="inlineStr">
        <is>
          <t>WY</t>
        </is>
      </c>
      <c r="B54" s="17" t="n">
        <v>23</v>
      </c>
      <c r="C54" s="17" t="n">
        <v>99</v>
      </c>
      <c r="D54" s="17" t="n">
        <v>0</v>
      </c>
      <c r="E54" s="34">
        <f>B54+C54+D54</f>
        <v/>
      </c>
      <c r="F54" s="17" t="n">
        <v>50</v>
      </c>
      <c r="G54" s="17" t="n">
        <v>2</v>
      </c>
      <c r="H54" s="17" t="n">
        <v>90</v>
      </c>
      <c r="I54" s="17" t="n">
        <v>35</v>
      </c>
      <c r="J54" s="17" t="n">
        <v>0</v>
      </c>
      <c r="K54" s="17" t="n">
        <v>0</v>
      </c>
      <c r="L54" s="34">
        <f>SUM(F54:K54)</f>
        <v/>
      </c>
      <c r="M54" s="35">
        <f>L54/E54</f>
        <v/>
      </c>
    </row>
    <row r="55">
      <c r="A55" s="4" t="inlineStr">
        <is>
          <t>DC</t>
        </is>
      </c>
      <c r="B55" s="17" t="n">
        <v>0</v>
      </c>
      <c r="C55" s="17" t="n">
        <v>1</v>
      </c>
      <c r="D55" s="17" t="n">
        <v>0</v>
      </c>
      <c r="E55" s="34">
        <f>B55+C55+D55</f>
        <v/>
      </c>
      <c r="F55" s="17" t="n">
        <v>10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34">
        <f>SUM(F55:K55)</f>
        <v/>
      </c>
      <c r="M55" s="35">
        <f>L55/E55</f>
        <v/>
      </c>
    </row>
    <row r="56">
      <c r="A56" s="8" t="inlineStr">
        <is>
          <t>US TOTAL</t>
        </is>
      </c>
      <c r="B56" s="20">
        <f>SUM(B5:B55)</f>
        <v/>
      </c>
      <c r="C56" s="20">
        <f>SUM(C5:C55)</f>
        <v/>
      </c>
      <c r="D56" s="20">
        <f>SUM(D5:D55)</f>
        <v/>
      </c>
      <c r="E56" s="20">
        <f>SUM(E5:E55)</f>
        <v/>
      </c>
      <c r="F56" s="20">
        <f>SUM(F5:F55)</f>
        <v/>
      </c>
      <c r="G56" s="20">
        <f>SUM(G5:G55)</f>
        <v/>
      </c>
      <c r="H56" s="20">
        <f>SUM(H5:H55)</f>
        <v/>
      </c>
      <c r="I56" s="20">
        <f>SUM(I5:I55)</f>
        <v/>
      </c>
      <c r="J56" s="20">
        <f>SUM(J5:J55)</f>
        <v/>
      </c>
      <c r="K56" s="20">
        <f>SUM(K5:K55)</f>
        <v/>
      </c>
      <c r="L56" s="20">
        <f>SUM(L5:L55)</f>
        <v/>
      </c>
      <c r="M56" s="36">
        <f>L56/E56</f>
        <v/>
      </c>
    </row>
  </sheetData>
  <conditionalFormatting sqref="F5:F55">
    <cfRule type="colorScale" priority="1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G5:G55">
    <cfRule type="colorScale" priority="2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H5:H55">
    <cfRule type="colorScale" priority="3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I5:I55">
    <cfRule type="colorScale" priority="4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J5:J55">
    <cfRule type="colorScale" priority="5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K5:K55">
    <cfRule type="colorScale" priority="6">
      <colorScale>
        <cfvo type="min"/>
        <cfvo type="percentile" val="50"/>
        <cfvo type="max"/>
        <color rgb="00EFF6FF"/>
        <color rgb="0060A5FA"/>
        <color rgb="001E3A8A"/>
      </colorScale>
    </cfRule>
  </conditionalFormatting>
  <conditionalFormatting sqref="M5:M55">
    <cfRule type="colorScale" priority="7">
      <colorScale>
        <cfvo type="min"/>
        <cfvo type="percentile" val="50"/>
        <cfvo type="max"/>
        <color rgb="00ECFDF5"/>
        <color rgb="0034D399"/>
        <color rgb="00064E3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2026-05-13T15:05:48Z</dcterms:created>
  <dcterms:modified xmlns:dcterms="http://purl.org/dc/terms/" xmlns:xsi="http://www.w3.org/2001/XMLSchema-instance" xsi:type="dcterms:W3CDTF">2026-05-13T15:06:07Z</dcterms:modified>
</cp:coreProperties>
</file>